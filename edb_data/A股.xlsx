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volatileDependencies.xml" ContentType="application/vnd.openxmlformats-officedocument.spreadsheetml.volatileDependenc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Codex\存储行业可视化看板网站制作\edb_data\"/>
    </mc:Choice>
  </mc:AlternateContent>
  <bookViews>
    <workbookView windowWidth="27948" windowHeight="12300" firstSheet="1"/>
  </bookViews>
  <sheets>
    <sheet name="期权实时成本" sheetId="1" r:id="rId1"/>
    <sheet name="中证1000年化基差" sheetId="2" r:id="rId2"/>
    <sheet name="Sheet4" sheetId="6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Lauren</author>
  </authors>
  <commentList>
    <comment ref="B7" authorId="0">
      <text>
        <r>
          <rPr>
            <sz val="9"/>
            <rFont val="宋体"/>
            <charset val="134"/>
          </rPr>
          <t>如需修改，请使用Excel插件-Wind-函数-编辑函数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<sst xmlns="http://schemas.openxmlformats.org/spreadsheetml/2006/main" count="27" uniqueCount="26">
  <si>
    <t>-8%至-5%虚值期权</t>
  </si>
  <si>
    <t>-11%至-8%虚值期权</t>
  </si>
  <si>
    <t>-13%至-11%虚值期权</t>
  </si>
  <si>
    <t>中证1000股指期货</t>
  </si>
  <si>
    <t>换月规则： 
11月、12月、1月：持有3月合约
2月、3月、4月：持有6月合约
5月、6月、7月：持有9月合约
8月、9月、10月：持有12月合约</t>
  </si>
  <si>
    <t>日期</t>
  </si>
  <si>
    <t>实时行情</t>
  </si>
  <si>
    <t>理论行权价</t>
  </si>
  <si>
    <t>-</t>
  </si>
  <si>
    <t>合约代码</t>
  </si>
  <si>
    <t>实际虚值</t>
  </si>
  <si>
    <t>最后交易日期</t>
  </si>
  <si>
    <t>剩余交易天数</t>
  </si>
  <si>
    <t>结算价</t>
  </si>
  <si>
    <t>当期对冲成本</t>
  </si>
  <si>
    <t>年化对冲成本</t>
  </si>
  <si>
    <t>delta</t>
  </si>
  <si>
    <t>开始日期</t>
  </si>
  <si>
    <t>截止日期</t>
  </si>
  <si>
    <t>当前日期</t>
  </si>
  <si>
    <t>证券代码</t>
  </si>
  <si>
    <t>IM.CFE</t>
  </si>
  <si>
    <t>证券简称</t>
  </si>
  <si>
    <t>基差年化收益率(股指期货)</t>
  </si>
  <si>
    <t>Date</t>
  </si>
  <si>
    <t>anal_basisannualyield_stkidx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</si>
</sst>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000"/>
    <numFmt numFmtId="178" formatCode="###,###,##0.0000"/>
    <numFmt numFmtId="179" formatCode="yyyy&quot;年&quot;m&quot;月&quot;d&quot;日&quot;;@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DE9D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76" fontId="0" fillId="2" borderId="1" xfId="0" applyNumberFormat="1" applyFill="1" applyBorder="1" applyAlignment="1">
      <alignment horizontal="right" vertical="center"/>
    </xf>
    <xf numFmtId="0" fontId="0" fillId="0" borderId="0" xfId="0" applyNumberFormat="1" applyAlignment="1">
      <alignment horizontal="right" vertical="center"/>
    </xf>
    <xf numFmtId="0" fontId="0" fillId="2" borderId="1" xfId="0" applyNumberFormat="1" applyFill="1" applyBorder="1" applyAlignment="1">
      <alignment horizontal="right" vertical="center"/>
    </xf>
    <xf numFmtId="0" fontId="0" fillId="3" borderId="0" xfId="0" applyNumberFormat="1" applyFill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1" fillId="0" borderId="2" xfId="0" applyNumberFormat="1" applyFont="1" applyBorder="1" applyAlignment="1">
      <alignment horizontal="right" vertical="center"/>
    </xf>
    <xf numFmtId="178" fontId="1" fillId="0" borderId="2" xfId="0" applyNumberFormat="1" applyFont="1" applyBorder="1" applyAlignment="1">
      <alignment horizontal="right" vertical="center"/>
    </xf>
    <xf numFmtId="10" fontId="1" fillId="0" borderId="2" xfId="3" applyNumberFormat="1" applyFont="1" applyBorder="1" applyAlignment="1">
      <alignment horizontal="right" vertical="center"/>
    </xf>
    <xf numFmtId="43" fontId="1" fillId="0" borderId="2" xfId="0" applyNumberFormat="1" applyFont="1" applyBorder="1" applyAlignment="1">
      <alignment horizontal="right" vertical="center"/>
    </xf>
    <xf numFmtId="10" fontId="2" fillId="0" borderId="2" xfId="3" applyNumberFormat="1" applyFont="1" applyBorder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1" fillId="0" borderId="2" xfId="0" applyFont="1" applyBorder="1" applyAlignment="1" quotePrefix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 t="n">
        <v>184.8</v>
        <stp/>
        <stp>MO2612-P-6200</stp>
        <stp>LastPrice</stp>
        <tr r="C10" s="1"/>
      </tp>
    </main>
    <main first="WDF.RTQ">
      <tp t="s">
        <v>#N/A</v>
        <stp/>
        <stp>MO2612-P-5800</stp>
        <stp>Delta</stp>
        <tr r="E13" s="1"/>
      </tp>
    </main>
    <main first="WDF.RTQ">
      <tp t="n">
        <v>-0.2435</v>
        <stp/>
        <stp>MO2612-P-6000</stp>
        <stp>Delta</stp>
        <tr r="D13" s="1"/>
      </tp>
    </main>
    <main first="WDF.RTQ">
      <tp t="n">
        <v>6471.6</v>
        <stp/>
        <stp>IM2612.CFE</stp>
        <stp>LastPrice</stp>
        <tr r="F10" s="1"/>
      </tp>
    </main>
    <main first="WDF.RTQ">
      <tp t="s">
        <v>#N/A</v>
        <stp/>
        <stp>MO2612-P-5800</stp>
        <stp>LastPrice</stp>
        <tr r="E10" s="1"/>
      </tp>
    </main>
    <main first="WDF.RTQ">
      <tp t="n">
        <v>-0.3277</v>
        <stp/>
        <stp>MO2612-P-6200</stp>
        <stp>Delta</stp>
        <tr r="C13" s="1"/>
      </tp>
    </main>
    <main first="WDF.RTQ">
      <tp t="n">
        <v>6578.27</v>
        <stp/>
        <stp>000852.SH</stp>
        <stp>LastPrice</stp>
        <tr r="F4" s="1"/>
        <tr r="C4" s="1"/>
        <tr r="D4" s="1"/>
        <tr r="E4" s="1"/>
      </tp>
    </main>
    <main first="WDF.RTQ">
      <tp t="n">
        <v>127</v>
        <stp/>
        <stp>MO2612-P-6000</stp>
        <stp>LastPrice</stp>
        <tr r="D10" s="1"/>
      </tp>
    </main>
  </volType>
</volType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volatileDependencies" Target="volatileDependenci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  <definedName name="s_info_ltdate_new"/>
      <definedName name="w_info_lasttradingdat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N22"/>
  <sheetViews>
    <sheetView tabSelected="1" workbookViewId="0">
      <selection activeCell="H28" sqref="H28"/>
    </sheetView>
  </sheetViews>
  <sheetFormatPr defaultColWidth="8.73148148148148" defaultRowHeight="14.4"/>
  <cols>
    <col min="2" max="2" width="21.2685185185185" customWidth="1"/>
    <col min="3" max="3" width="18.0925925925926" style="7" customWidth="1"/>
    <col min="4" max="4" width="22.5462962962963" style="7" customWidth="1"/>
    <col min="5" max="5" width="22.4537037037037" style="7" customWidth="1"/>
    <col min="6" max="6" width="20.5462962962963" style="7" customWidth="1"/>
  </cols>
  <sheetData>
    <row r="2" ht="15.6" spans="2:14">
      <c r="B2" s="8"/>
      <c r="C2" s="18" t="s">
        <v>0</v>
      </c>
      <c r="D2" s="18" t="s">
        <v>1</v>
      </c>
      <c r="E2" s="18" t="s">
        <v>2</v>
      </c>
      <c r="F2" s="9" t="s">
        <v>3</v>
      </c>
      <c r="H2" s="10" t="s">
        <v>4</v>
      </c>
      <c r="I2" s="11"/>
      <c r="J2" s="11"/>
      <c r="K2" s="11"/>
      <c r="L2" s="11"/>
      <c r="M2" s="11"/>
      <c r="N2" s="11"/>
    </row>
    <row r="3" ht="15.6" spans="2:14">
      <c r="B3" s="8" t="s">
        <v>5</v>
      </c>
      <c r="C3" s="12">
        <f ca="1" t="shared" ref="C3:F3" si="0">TODAY()</f>
        <v>46317</v>
      </c>
      <c r="D3" s="12">
        <f ca="1" t="shared" si="0"/>
        <v>46317</v>
      </c>
      <c r="E3" s="12">
        <f ca="1" t="shared" si="0"/>
        <v>46317</v>
      </c>
      <c r="F3" s="12">
        <f ca="1" t="shared" si="0"/>
        <v>46317</v>
      </c>
      <c r="H3" s="11"/>
      <c r="I3" s="11"/>
      <c r="J3" s="11"/>
      <c r="K3" s="11"/>
      <c r="L3" s="11"/>
      <c r="M3" s="11"/>
      <c r="N3" s="11"/>
    </row>
    <row r="4" ht="15.6" spans="2:14">
      <c r="B4" s="8" t="s">
        <v>6</v>
      </c>
      <c r="C4" s="13">
        <f t="shared" ref="C4:F4" si="1">RTD("WDF.RTQ",,"000852.SH","LastPrice")</f>
        <v>6578.27</v>
      </c>
      <c r="D4" s="9">
        <f t="shared" si="1"/>
        <v>6578.27</v>
      </c>
      <c r="E4" s="13">
        <f t="shared" si="1"/>
        <v>6578.27</v>
      </c>
      <c r="F4" s="9">
        <f t="shared" si="1"/>
        <v>6578.27</v>
      </c>
      <c r="H4" s="11"/>
      <c r="I4" s="11"/>
      <c r="J4" s="11"/>
      <c r="K4" s="11"/>
      <c r="L4" s="11"/>
      <c r="M4" s="11"/>
      <c r="N4" s="11"/>
    </row>
    <row r="5" ht="15.6" spans="2:14">
      <c r="B5" s="8" t="s">
        <v>7</v>
      </c>
      <c r="C5" s="9">
        <f>MAX(IF(C4*0.95&lt;=5000,FLOOR(C4*0.95,100),FLOOR(C4*0.95,200)),IF(C4&lt;=5000,MROUND(C4,100)-400,MROUND(C4,200)-800))</f>
        <v>6200</v>
      </c>
      <c r="D5" s="9">
        <f>MAX(IF(D4*0.92&lt;=5000,FLOOR(D4*0.92,100),FLOOR(D4*0.92,200)),IF(D4&lt;=5000,MROUND(D4,100)-400,MROUND(D4,200)-800))</f>
        <v>6000</v>
      </c>
      <c r="E5" s="9">
        <f>MAX(IF(E4*0.89&lt;=5000,FLOOR(E4*0.89,100),FLOOR(E4*0.89,200)),IF(E4&lt;=5000,MROUND(E4,100)-400,MROUND(E4,200)-800))</f>
        <v>5800</v>
      </c>
      <c r="F5" s="9" t="s">
        <v>8</v>
      </c>
      <c r="H5" s="11"/>
      <c r="I5" s="11"/>
      <c r="J5" s="11"/>
      <c r="K5" s="11"/>
      <c r="L5" s="11"/>
      <c r="M5" s="11"/>
      <c r="N5" s="11"/>
    </row>
    <row r="6" ht="15.6" spans="2:14">
      <c r="B6" s="8" t="s">
        <v>9</v>
      </c>
      <c r="C6" s="9" t="str">
        <f ca="1">"MO"&amp;TEXT(DATE(YEAR(C3)+IF(MONTH(C3)&gt;=11,1,0),CHOOSE(MONTH(C3),3,6,6,6,9,9,9,12,12,12,3,3),1),"yymm")&amp;"-P-"&amp;C5</f>
        <v>MO2612-P-6200</v>
      </c>
      <c r="D6" s="9" t="str">
        <f ca="1">"MO"&amp;TEXT(DATE(YEAR(D3)+IF(MONTH(D3)&gt;=11,1,0),CHOOSE(MONTH(D3),3,6,6,6,9,9,9,12,12,12,3,3),1),"yymm")&amp;"-P-"&amp;D5</f>
        <v>MO2612-P-6000</v>
      </c>
      <c r="E6" s="9" t="str">
        <f ca="1">"MO"&amp;TEXT(DATE(YEAR(E3)+IF(MONTH(E3)&gt;=11,1,0),CHOOSE(MONTH(E3),3,6,6,6,9,9,9,12,12,12,3,3),1),"yymm")&amp;"-P-"&amp;E5</f>
        <v>MO2612-P-5800</v>
      </c>
      <c r="F6" s="9" t="str">
        <f ca="1">"IM"&amp;TEXT(DATE(YEAR(F3)+IF(MONTH(F3)&gt;=11,1,0),CHOOSE(MONTH(F3),3,6,6,6,9,9,9,12,12,12,3,3),1),"yymm")&amp;".CFE"</f>
        <v>IM2612.CFE</v>
      </c>
      <c r="H6" s="11"/>
      <c r="I6" s="11"/>
      <c r="J6" s="11"/>
      <c r="K6" s="11"/>
      <c r="L6" s="11"/>
      <c r="M6" s="11"/>
      <c r="N6" s="11"/>
    </row>
    <row r="7" ht="15.6" spans="2:14">
      <c r="B7" s="8" t="s">
        <v>10</v>
      </c>
      <c r="C7" s="14">
        <f>(C5-C4)/C4</f>
        <v>-0.0575029605048136</v>
      </c>
      <c r="D7" s="14">
        <f>(D5-D4)/D4</f>
        <v>-0.08790609081111</v>
      </c>
      <c r="E7" s="14">
        <f>(E5-E4)/E4</f>
        <v>-0.118309221117406</v>
      </c>
      <c r="F7" s="14"/>
      <c r="H7" s="11"/>
      <c r="I7" s="11"/>
      <c r="J7" s="11"/>
      <c r="K7" s="11"/>
      <c r="L7" s="11"/>
      <c r="M7" s="11"/>
      <c r="N7" s="11"/>
    </row>
    <row r="8" ht="15.6" spans="2:14">
      <c r="B8" s="8" t="s">
        <v>11</v>
      </c>
      <c r="C8" s="9" t="str">
        <f ca="1">[1]!w_info_lasttradingdate(C6)</f>
        <v>2026-12-18</v>
      </c>
      <c r="D8" s="9" t="str">
        <f ca="1">[1]!w_info_lasttradingdate(D6)</f>
        <v>2026-12-18</v>
      </c>
      <c r="E8" s="9">
        <f ca="1">[1]!w_info_lasttradingdate(E6)</f>
        <v>0</v>
      </c>
      <c r="F8" s="9" t="str">
        <f ca="1">[1]!s_info_ltdate_new(F6,F3)</f>
        <v>2026-12-18</v>
      </c>
      <c r="H8" s="11"/>
      <c r="I8" s="11"/>
      <c r="J8" s="11"/>
      <c r="K8" s="11"/>
      <c r="L8" s="11"/>
      <c r="M8" s="11"/>
      <c r="N8" s="11"/>
    </row>
    <row r="9" ht="15.6" spans="2:14">
      <c r="B9" s="8" t="s">
        <v>12</v>
      </c>
      <c r="C9" s="9">
        <f ca="1" t="shared" ref="C9:F9" si="2">C8-C3</f>
        <v>57</v>
      </c>
      <c r="D9" s="9">
        <f ca="1" t="shared" si="2"/>
        <v>57</v>
      </c>
      <c r="E9" s="9">
        <f ca="1" t="shared" si="2"/>
        <v>-46317</v>
      </c>
      <c r="F9" s="9">
        <f ca="1" t="shared" si="2"/>
        <v>57</v>
      </c>
      <c r="H9" s="11"/>
      <c r="I9" s="11"/>
      <c r="J9" s="11"/>
      <c r="K9" s="11"/>
      <c r="L9" s="11"/>
      <c r="M9" s="11"/>
      <c r="N9" s="11"/>
    </row>
    <row r="10" ht="15.6" spans="2:14">
      <c r="B10" s="8" t="s">
        <v>13</v>
      </c>
      <c r="C10" s="15">
        <f ca="1" t="shared" ref="C10:F10" si="3">RTD("WDF.RTQ",,C6,"LastPrice")</f>
        <v>184.8</v>
      </c>
      <c r="D10" s="15">
        <f ca="1" t="shared" si="3"/>
        <v>127</v>
      </c>
      <c r="E10" s="15" t="str">
        <f ca="1" t="shared" si="3"/>
        <v>#N/A</v>
      </c>
      <c r="F10" s="15">
        <f ca="1" t="shared" si="3"/>
        <v>6471.6</v>
      </c>
      <c r="H10" s="11"/>
      <c r="I10" s="11"/>
      <c r="J10" s="11"/>
      <c r="K10" s="11"/>
      <c r="L10" s="11"/>
      <c r="M10" s="11"/>
      <c r="N10" s="11"/>
    </row>
    <row r="11" ht="15.6" spans="2:14">
      <c r="B11" s="8" t="s">
        <v>14</v>
      </c>
      <c r="C11" s="16">
        <f ca="1">C10/C4</f>
        <v>0.0280924924030178</v>
      </c>
      <c r="D11" s="16">
        <f ca="1">D10/D4</f>
        <v>0.0193059877444982</v>
      </c>
      <c r="E11" s="16" t="e">
        <f ca="1">E10/E4</f>
        <v>#VALUE!</v>
      </c>
      <c r="F11" s="16">
        <f ca="1">(F10/F4-1)*-1</f>
        <v>0.0162155095488632</v>
      </c>
    </row>
    <row r="12" ht="15.6" spans="2:14">
      <c r="B12" s="8" t="s">
        <v>15</v>
      </c>
      <c r="C12" s="16">
        <f ca="1" t="shared" ref="C12:F12" si="4">C11*(365/C9)</f>
        <v>0.179890521528097</v>
      </c>
      <c r="D12" s="16">
        <f ca="1" t="shared" si="4"/>
        <v>0.123626061872664</v>
      </c>
      <c r="E12" s="16" t="e">
        <f ca="1" t="shared" si="4"/>
        <v>#VALUE!</v>
      </c>
      <c r="F12" s="16">
        <f ca="1" t="shared" si="4"/>
        <v>0.103836157637457</v>
      </c>
    </row>
    <row r="13" ht="15.6" spans="2:14">
      <c r="B13" s="8" t="s">
        <v>16</v>
      </c>
      <c r="C13" s="9">
        <f ca="1">RTD("WDF.RTQ",,C6,"Delta")</f>
        <v>-0.3277</v>
      </c>
      <c r="D13" s="9">
        <f ca="1">RTD("WDF.RTQ",,D6,"Delta")</f>
        <v>-0.2435</v>
      </c>
      <c r="E13" s="9" t="str">
        <f ca="1">RTD("WDF.RTQ",,E6,"Delta")</f>
        <v>#N/A</v>
      </c>
      <c r="F13" s="9"/>
    </row>
    <row r="22" spans="5:5">
      <c r="E22" s="17"/>
    </row>
  </sheetData>
  <mergeCells count="1">
    <mergeCell ref="H2:N10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1029"/>
  <sheetViews>
    <sheetView workbookViewId="0">
      <selection activeCell="L11" sqref="L11"/>
    </sheetView>
  </sheetViews>
  <sheetFormatPr defaultColWidth="8.73148148148148" defaultRowHeight="14.4" outlineLevelCol="1"/>
  <cols>
    <col min="1" max="1" width="21" customWidth="1"/>
    <col min="2" max="2" width="20.9074074074074" customWidth="1"/>
  </cols>
  <sheetData>
    <row r="1" spans="1:2">
      <c r="A1" s="1" t="s">
        <v>17</v>
      </c>
      <c r="B1" s="2">
        <v>44774</v>
      </c>
    </row>
    <row r="2" spans="1:2">
      <c r="A2" s="1" t="s">
        <v>18</v>
      </c>
      <c r="B2" s="2" t="s">
        <v>19</v>
      </c>
    </row>
    <row r="3" spans="1:2">
      <c r="A3" s="3" t="s">
        <v>20</v>
      </c>
      <c r="B3" s="4" t="s">
        <v>21</v>
      </c>
    </row>
    <row r="4" spans="1:2">
      <c r="A4" s="3" t="s">
        <v>22</v>
      </c>
      <c r="B4" s="3" t="str" cm="1">
        <f t="array" ref="B4">[1]!s_info_name(B3)</f>
        <v>中证1000期货</v>
      </c>
    </row>
    <row r="5" spans="1:2">
      <c r="A5" s="5" t="s">
        <v>5</v>
      </c>
      <c r="B5" s="5" t="s">
        <v>23</v>
      </c>
    </row>
    <row r="6" spans="1:2">
      <c r="A6" s="3" t="s">
        <v>24</v>
      </c>
      <c r="B6" s="4" t="s">
        <v>25</v>
      </c>
    </row>
    <row r="7" spans="1:2">
      <c r="A7" s="1">
        <v>44774</v>
      </c>
      <c r="B7" s="6" cm="1">
        <f t="array" ref="B7">[1]!WSD(B3,B6:B6,B1,B2,"TradingCalendar=SSE","PriceAdj=F","rptType=1","Version=1","ShowParams=Y","cols=1;rows=1023")</f>
        <v>10.1791143839957</v>
      </c>
    </row>
    <row r="8" spans="1:2">
      <c r="A8" s="1">
        <v>44775</v>
      </c>
      <c r="B8" s="6">
        <v>2.51045185550547</v>
      </c>
    </row>
    <row r="9" spans="1:2">
      <c r="A9" s="1">
        <v>44776</v>
      </c>
      <c r="B9" s="6">
        <v>9.4171589577818</v>
      </c>
    </row>
    <row r="10" spans="1:2">
      <c r="A10" s="1">
        <v>44777</v>
      </c>
      <c r="B10" s="6">
        <v>20.8060003863621</v>
      </c>
    </row>
    <row r="11" spans="1:2">
      <c r="A11" s="1">
        <v>44778</v>
      </c>
      <c r="B11" s="6">
        <v>3.20640344620872</v>
      </c>
    </row>
    <row r="12" spans="1:2">
      <c r="A12" s="1">
        <v>44781</v>
      </c>
      <c r="B12" s="6">
        <v>15.2955537857932</v>
      </c>
    </row>
    <row r="13" spans="1:2">
      <c r="A13" s="1">
        <v>44782</v>
      </c>
      <c r="B13" s="6">
        <v>18.0355241842009</v>
      </c>
    </row>
    <row r="14" spans="1:2">
      <c r="A14" s="1">
        <v>44783</v>
      </c>
      <c r="B14" s="6">
        <v>18.9245114915055</v>
      </c>
    </row>
    <row r="15" spans="1:2">
      <c r="A15" s="1">
        <v>44784</v>
      </c>
      <c r="B15" s="6">
        <v>4.74247632371678</v>
      </c>
    </row>
    <row r="16" spans="1:2">
      <c r="A16" s="1">
        <v>44785</v>
      </c>
      <c r="B16" s="6">
        <v>3.70881594628676</v>
      </c>
    </row>
    <row r="17" spans="1:2">
      <c r="A17" s="1">
        <v>44788</v>
      </c>
      <c r="B17" s="6">
        <v>12.013455069678</v>
      </c>
    </row>
    <row r="18" spans="1:2">
      <c r="A18" s="1">
        <v>44789</v>
      </c>
      <c r="B18" s="6">
        <v>11.6215929733312</v>
      </c>
    </row>
    <row r="19" spans="1:2">
      <c r="A19" s="1">
        <v>44790</v>
      </c>
      <c r="B19" s="6">
        <v>1.22066201111692</v>
      </c>
    </row>
    <row r="20" spans="1:2">
      <c r="A20" s="1">
        <v>44791</v>
      </c>
      <c r="B20" s="6">
        <v>-12.5191505068005</v>
      </c>
    </row>
    <row r="21" spans="1:2">
      <c r="A21" s="1">
        <v>44792</v>
      </c>
      <c r="B21" s="6">
        <v>8.29460036327529</v>
      </c>
    </row>
    <row r="22" spans="1:2">
      <c r="A22" s="1">
        <v>44795</v>
      </c>
      <c r="B22" s="6">
        <v>10.1414285674612</v>
      </c>
    </row>
    <row r="23" spans="1:2">
      <c r="A23" s="1">
        <v>44796</v>
      </c>
      <c r="B23" s="6">
        <v>9.96531580624901</v>
      </c>
    </row>
    <row r="24" spans="1:2">
      <c r="A24" s="1">
        <v>44797</v>
      </c>
      <c r="B24" s="6">
        <v>14.5421397350987</v>
      </c>
    </row>
    <row r="25" spans="1:2">
      <c r="A25" s="1">
        <v>44798</v>
      </c>
      <c r="B25" s="6">
        <v>16.9038609948253</v>
      </c>
    </row>
    <row r="26" spans="1:2">
      <c r="A26" s="1">
        <v>44799</v>
      </c>
      <c r="B26" s="6">
        <v>16.3750068175172</v>
      </c>
    </row>
    <row r="27" spans="1:2">
      <c r="A27" s="1">
        <v>44802</v>
      </c>
      <c r="B27" s="6">
        <v>18.1373233888982</v>
      </c>
    </row>
    <row r="28" spans="1:2">
      <c r="A28" s="1">
        <v>44803</v>
      </c>
      <c r="B28" s="6">
        <v>9.84642518363993</v>
      </c>
    </row>
    <row r="29" spans="1:2">
      <c r="A29" s="1">
        <v>44804</v>
      </c>
      <c r="B29" s="6">
        <v>12.5118636942907</v>
      </c>
    </row>
    <row r="30" spans="1:2">
      <c r="A30" s="1">
        <v>44805</v>
      </c>
      <c r="B30" s="6">
        <v>11.6730906216235</v>
      </c>
    </row>
    <row r="31" spans="1:2">
      <c r="A31" s="1">
        <v>44806</v>
      </c>
      <c r="B31" s="6">
        <v>17.2008232525583</v>
      </c>
    </row>
    <row r="32" spans="1:2">
      <c r="A32" s="1">
        <v>44809</v>
      </c>
      <c r="B32" s="6">
        <v>17.9532979680838</v>
      </c>
    </row>
    <row r="33" spans="1:2">
      <c r="A33" s="1">
        <v>44810</v>
      </c>
      <c r="B33" s="6">
        <v>17.9951391735853</v>
      </c>
    </row>
    <row r="34" spans="1:2">
      <c r="A34" s="1">
        <v>44811</v>
      </c>
      <c r="B34" s="6">
        <v>22.2176235624951</v>
      </c>
    </row>
    <row r="35" spans="1:2">
      <c r="A35" s="1">
        <v>44812</v>
      </c>
      <c r="B35" s="6">
        <v>13.7132522584807</v>
      </c>
    </row>
    <row r="36" spans="1:2">
      <c r="A36" s="1">
        <v>44813</v>
      </c>
      <c r="B36" s="6">
        <v>0.418741146951328</v>
      </c>
    </row>
    <row r="37" spans="1:2">
      <c r="A37" s="1">
        <v>44817</v>
      </c>
      <c r="B37" s="6">
        <v>11.476460830575</v>
      </c>
    </row>
    <row r="38" spans="1:2">
      <c r="A38" s="1">
        <v>44818</v>
      </c>
      <c r="B38" s="6">
        <v>4.34130101842535</v>
      </c>
    </row>
    <row r="39" spans="1:2">
      <c r="A39" s="1">
        <v>44819</v>
      </c>
      <c r="B39" s="6">
        <v>43.0354849524769</v>
      </c>
    </row>
    <row r="40" spans="1:2">
      <c r="A40" s="1">
        <v>44820</v>
      </c>
      <c r="B40" s="6">
        <v>18.0087776532608</v>
      </c>
    </row>
    <row r="41" spans="1:2">
      <c r="A41" s="1">
        <v>44823</v>
      </c>
      <c r="B41" s="6">
        <v>19.8446392414616</v>
      </c>
    </row>
    <row r="42" spans="1:2">
      <c r="A42" s="1">
        <v>44824</v>
      </c>
      <c r="B42" s="6">
        <v>18.945056251061</v>
      </c>
    </row>
    <row r="43" spans="1:2">
      <c r="A43" s="1">
        <v>44825</v>
      </c>
      <c r="B43" s="6">
        <v>14.5738983070891</v>
      </c>
    </row>
    <row r="44" spans="1:2">
      <c r="A44" s="1">
        <v>44826</v>
      </c>
      <c r="B44" s="6">
        <v>11.6687264880652</v>
      </c>
    </row>
    <row r="45" spans="1:2">
      <c r="A45" s="1">
        <v>44827</v>
      </c>
      <c r="B45" s="6">
        <v>9.89096468264029</v>
      </c>
    </row>
    <row r="46" spans="1:2">
      <c r="A46" s="1">
        <v>44830</v>
      </c>
      <c r="B46" s="6">
        <v>7.58390469570811</v>
      </c>
    </row>
    <row r="47" spans="1:2">
      <c r="A47" s="1">
        <v>44831</v>
      </c>
      <c r="B47" s="6">
        <v>3.05782916594892</v>
      </c>
    </row>
    <row r="48" spans="1:2">
      <c r="A48" s="1">
        <v>44832</v>
      </c>
      <c r="B48" s="6">
        <v>2.63457839537105</v>
      </c>
    </row>
    <row r="49" spans="1:2">
      <c r="A49" s="1">
        <v>44833</v>
      </c>
      <c r="B49" s="6">
        <v>-1.21117909447448</v>
      </c>
    </row>
    <row r="50" spans="1:2">
      <c r="A50" s="1">
        <v>44834</v>
      </c>
      <c r="B50" s="6">
        <v>8.11294465142033</v>
      </c>
    </row>
    <row r="51" spans="1:2">
      <c r="A51" s="1">
        <v>44844</v>
      </c>
      <c r="B51" s="6">
        <v>3.55117339110382</v>
      </c>
    </row>
    <row r="52" spans="1:2">
      <c r="A52" s="1">
        <v>44845</v>
      </c>
      <c r="B52" s="6">
        <v>10.8565491881637</v>
      </c>
    </row>
    <row r="53" spans="1:2">
      <c r="A53" s="1">
        <v>44846</v>
      </c>
      <c r="B53" s="6">
        <v>11.8352942213754</v>
      </c>
    </row>
    <row r="54" spans="1:2">
      <c r="A54" s="1">
        <v>44847</v>
      </c>
      <c r="B54" s="6">
        <v>5.61086192035839</v>
      </c>
    </row>
    <row r="55" spans="1:2">
      <c r="A55" s="1">
        <v>44848</v>
      </c>
      <c r="B55" s="6">
        <v>-7.50720422866679</v>
      </c>
    </row>
    <row r="56" spans="1:2">
      <c r="A56" s="1">
        <v>44851</v>
      </c>
      <c r="B56" s="6">
        <v>18.8885938435288</v>
      </c>
    </row>
    <row r="57" spans="1:2">
      <c r="A57" s="1">
        <v>44852</v>
      </c>
      <c r="B57" s="6">
        <v>10.8548373283586</v>
      </c>
    </row>
    <row r="58" spans="1:2">
      <c r="A58" s="1">
        <v>44853</v>
      </c>
      <c r="B58" s="6">
        <v>-1.61710213790382</v>
      </c>
    </row>
    <row r="59" spans="1:2">
      <c r="A59" s="1">
        <v>44854</v>
      </c>
      <c r="B59" s="6">
        <v>-31.2918749823671</v>
      </c>
    </row>
    <row r="60" spans="1:2">
      <c r="A60" s="1">
        <v>44855</v>
      </c>
      <c r="B60" s="6">
        <v>10.165452603417</v>
      </c>
    </row>
    <row r="61" spans="1:2">
      <c r="A61" s="1">
        <v>44858</v>
      </c>
      <c r="B61" s="6">
        <v>3.61223164507061</v>
      </c>
    </row>
    <row r="62" spans="1:2">
      <c r="A62" s="1">
        <v>44859</v>
      </c>
      <c r="B62" s="6">
        <v>3.10086661495806</v>
      </c>
    </row>
    <row r="63" spans="1:2">
      <c r="A63" s="1">
        <v>44860</v>
      </c>
      <c r="B63" s="6">
        <v>-1.90594047594284</v>
      </c>
    </row>
    <row r="64" spans="1:2">
      <c r="A64" s="1">
        <v>44861</v>
      </c>
      <c r="B64" s="6">
        <v>-2.59227880297674</v>
      </c>
    </row>
    <row r="65" spans="1:2">
      <c r="A65" s="1">
        <v>44862</v>
      </c>
      <c r="B65" s="6">
        <v>3.93924590455448</v>
      </c>
    </row>
    <row r="66" spans="1:2">
      <c r="A66" s="1">
        <v>44865</v>
      </c>
      <c r="B66" s="6">
        <v>1.59422224258458</v>
      </c>
    </row>
    <row r="67" spans="1:2">
      <c r="A67" s="1">
        <v>44866</v>
      </c>
      <c r="B67" s="6">
        <v>-8.64534170231912</v>
      </c>
    </row>
    <row r="68" spans="1:2">
      <c r="A68" s="1">
        <v>44867</v>
      </c>
      <c r="B68" s="6">
        <v>-2.20658948077335</v>
      </c>
    </row>
    <row r="69" spans="1:2">
      <c r="A69" s="1">
        <v>44868</v>
      </c>
      <c r="B69" s="6">
        <v>1.09175396091891</v>
      </c>
    </row>
    <row r="70" spans="1:2">
      <c r="A70" s="1">
        <v>44869</v>
      </c>
      <c r="B70" s="6">
        <v>-12.5177338684298</v>
      </c>
    </row>
    <row r="71" spans="1:2">
      <c r="A71" s="1">
        <v>44872</v>
      </c>
      <c r="B71" s="6">
        <v>0.68424159034489</v>
      </c>
    </row>
    <row r="72" spans="1:2">
      <c r="A72" s="1">
        <v>44873</v>
      </c>
      <c r="B72" s="6">
        <v>-5.24598901284354</v>
      </c>
    </row>
    <row r="73" spans="1:2">
      <c r="A73" s="1">
        <v>44874</v>
      </c>
      <c r="B73" s="6">
        <v>0.56541087975618</v>
      </c>
    </row>
    <row r="74" spans="1:2">
      <c r="A74" s="1">
        <v>44875</v>
      </c>
      <c r="B74" s="6">
        <v>-6.86419964855611</v>
      </c>
    </row>
    <row r="75" spans="1:2">
      <c r="A75" s="1">
        <v>44876</v>
      </c>
      <c r="B75" s="6">
        <v>-0.952249179823715</v>
      </c>
    </row>
    <row r="76" spans="1:2">
      <c r="A76" s="1">
        <v>44879</v>
      </c>
      <c r="B76" s="6">
        <v>5.65596847294779</v>
      </c>
    </row>
    <row r="77" spans="1:2">
      <c r="A77" s="1">
        <v>44880</v>
      </c>
      <c r="B77" s="6">
        <v>-0.451035804789913</v>
      </c>
    </row>
    <row r="78" spans="1:2">
      <c r="A78" s="1">
        <v>44881</v>
      </c>
      <c r="B78" s="6">
        <v>4.77590831409958</v>
      </c>
    </row>
    <row r="79" spans="1:2">
      <c r="A79" s="1">
        <v>44882</v>
      </c>
      <c r="B79" s="6">
        <v>-1.29663347409085</v>
      </c>
    </row>
    <row r="80" spans="1:2">
      <c r="A80" s="1">
        <v>44883</v>
      </c>
      <c r="B80" s="6">
        <v>2.14560682010787</v>
      </c>
    </row>
    <row r="81" spans="1:2">
      <c r="A81" s="1">
        <v>44886</v>
      </c>
      <c r="B81" s="6">
        <v>0.808265359613041</v>
      </c>
    </row>
    <row r="82" spans="1:2">
      <c r="A82" s="1">
        <v>44887</v>
      </c>
      <c r="B82" s="6">
        <v>5.20325036128381</v>
      </c>
    </row>
    <row r="83" spans="1:2">
      <c r="A83" s="1">
        <v>44888</v>
      </c>
      <c r="B83" s="6">
        <v>3.08596703387552</v>
      </c>
    </row>
    <row r="84" spans="1:2">
      <c r="A84" s="1">
        <v>44889</v>
      </c>
      <c r="B84" s="6">
        <v>6.17486268057036</v>
      </c>
    </row>
    <row r="85" spans="1:2">
      <c r="A85" s="1">
        <v>44890</v>
      </c>
      <c r="B85" s="6">
        <v>3.63788080115147</v>
      </c>
    </row>
    <row r="86" spans="1:2">
      <c r="A86" s="1">
        <v>44893</v>
      </c>
      <c r="B86" s="6">
        <v>0.182769028822995</v>
      </c>
    </row>
    <row r="87" spans="1:2">
      <c r="A87" s="1">
        <v>44894</v>
      </c>
      <c r="B87" s="6">
        <v>-0.725055530723529</v>
      </c>
    </row>
    <row r="88" spans="1:2">
      <c r="A88" s="1">
        <v>44895</v>
      </c>
      <c r="B88" s="6">
        <v>2.19048402382568</v>
      </c>
    </row>
    <row r="89" spans="1:2">
      <c r="A89" s="1">
        <v>44896</v>
      </c>
      <c r="B89" s="6">
        <v>-1.11810075048024</v>
      </c>
    </row>
    <row r="90" spans="1:2">
      <c r="A90" s="1">
        <v>44897</v>
      </c>
      <c r="B90" s="6">
        <v>-0.428143028933669</v>
      </c>
    </row>
    <row r="91" spans="1:2">
      <c r="A91" s="1">
        <v>44900</v>
      </c>
      <c r="B91" s="6">
        <v>4.23234237866361</v>
      </c>
    </row>
    <row r="92" spans="1:2">
      <c r="A92" s="1">
        <v>44901</v>
      </c>
      <c r="B92" s="6">
        <v>2.38364495948256</v>
      </c>
    </row>
    <row r="93" spans="1:2">
      <c r="A93" s="1">
        <v>44902</v>
      </c>
      <c r="B93" s="6">
        <v>4.70118744949235</v>
      </c>
    </row>
    <row r="94" spans="1:2">
      <c r="A94" s="1">
        <v>44903</v>
      </c>
      <c r="B94" s="6">
        <v>-0.780452462241121</v>
      </c>
    </row>
    <row r="95" spans="1:2">
      <c r="A95" s="1">
        <v>44904</v>
      </c>
      <c r="B95" s="6">
        <v>-2.75982502699335</v>
      </c>
    </row>
    <row r="96" spans="1:2">
      <c r="A96" s="1">
        <v>44907</v>
      </c>
      <c r="B96" s="6">
        <v>0.806605047359756</v>
      </c>
    </row>
    <row r="97" spans="1:2">
      <c r="A97" s="1">
        <v>44908</v>
      </c>
      <c r="B97" s="6">
        <v>-10.5522647297583</v>
      </c>
    </row>
    <row r="98" spans="1:2">
      <c r="A98" s="1">
        <v>44909</v>
      </c>
      <c r="B98" s="6">
        <v>-4.54298582395201</v>
      </c>
    </row>
    <row r="99" spans="1:2">
      <c r="A99" s="1">
        <v>44910</v>
      </c>
      <c r="B99" s="6">
        <v>-5.7777125010261</v>
      </c>
    </row>
    <row r="100" spans="1:2">
      <c r="A100" s="1">
        <v>44911</v>
      </c>
      <c r="B100" s="6">
        <v>-1.89646770216833</v>
      </c>
    </row>
    <row r="101" spans="1:2">
      <c r="A101" s="1">
        <v>44914</v>
      </c>
      <c r="B101" s="6">
        <v>-4.27537161667001</v>
      </c>
    </row>
    <row r="102" spans="1:2">
      <c r="A102" s="1">
        <v>44915</v>
      </c>
      <c r="B102" s="6">
        <v>-1.51119509306402</v>
      </c>
    </row>
    <row r="103" spans="1:2">
      <c r="A103" s="1">
        <v>44916</v>
      </c>
      <c r="B103" s="6">
        <v>-2.36047378734434</v>
      </c>
    </row>
    <row r="104" spans="1:2">
      <c r="A104" s="1">
        <v>44917</v>
      </c>
      <c r="B104" s="6">
        <v>-3.66985362502601</v>
      </c>
    </row>
    <row r="105" spans="1:2">
      <c r="A105" s="1">
        <v>44918</v>
      </c>
      <c r="B105" s="6">
        <v>-0.90388823260999</v>
      </c>
    </row>
    <row r="106" spans="1:2">
      <c r="A106" s="1">
        <v>44921</v>
      </c>
      <c r="B106" s="6">
        <v>-2.02868347250445</v>
      </c>
    </row>
    <row r="107" spans="1:2">
      <c r="A107" s="1">
        <v>44922</v>
      </c>
      <c r="B107" s="6">
        <v>-2.32126714602062</v>
      </c>
    </row>
    <row r="108" spans="1:2">
      <c r="A108" s="1">
        <v>44923</v>
      </c>
      <c r="B108" s="6">
        <v>-5.84958781724072</v>
      </c>
    </row>
    <row r="109" spans="1:2">
      <c r="A109" s="1">
        <v>44924</v>
      </c>
      <c r="B109" s="6">
        <v>-1.83921896176911</v>
      </c>
    </row>
    <row r="110" spans="1:2">
      <c r="A110" s="1">
        <v>44925</v>
      </c>
      <c r="B110" s="6">
        <v>-1.10881678113799</v>
      </c>
    </row>
    <row r="111" spans="1:2">
      <c r="A111" s="1">
        <v>44929</v>
      </c>
      <c r="B111" s="6">
        <v>1.02891837229632</v>
      </c>
    </row>
    <row r="112" spans="1:2">
      <c r="A112" s="1">
        <v>44930</v>
      </c>
      <c r="B112" s="6">
        <v>2.05946943182256</v>
      </c>
    </row>
    <row r="113" spans="1:2">
      <c r="A113" s="1">
        <v>44931</v>
      </c>
      <c r="B113" s="6">
        <v>-1.58405408308083</v>
      </c>
    </row>
    <row r="114" spans="1:2">
      <c r="A114" s="1">
        <v>44932</v>
      </c>
      <c r="B114" s="6">
        <v>-1.70610473959662</v>
      </c>
    </row>
    <row r="115" spans="1:2">
      <c r="A115" s="1">
        <v>44935</v>
      </c>
      <c r="B115" s="6">
        <v>6.71281103147599</v>
      </c>
    </row>
    <row r="116" spans="1:2">
      <c r="A116" s="1">
        <v>44936</v>
      </c>
      <c r="B116" s="6">
        <v>3.39812876149672</v>
      </c>
    </row>
    <row r="117" spans="1:2">
      <c r="A117" s="1">
        <v>44937</v>
      </c>
      <c r="B117" s="6">
        <v>-3.61068766400405</v>
      </c>
    </row>
    <row r="118" spans="1:2">
      <c r="A118" s="1">
        <v>44938</v>
      </c>
      <c r="B118" s="6">
        <v>-1.33720059655981</v>
      </c>
    </row>
    <row r="119" spans="1:2">
      <c r="A119" s="1">
        <v>44939</v>
      </c>
      <c r="B119" s="6">
        <v>-15.9102094338677</v>
      </c>
    </row>
    <row r="120" spans="1:2">
      <c r="A120" s="1">
        <v>44942</v>
      </c>
      <c r="B120" s="6">
        <v>-4.24345038330617</v>
      </c>
    </row>
    <row r="121" spans="1:2">
      <c r="A121" s="1">
        <v>44943</v>
      </c>
      <c r="B121" s="6">
        <v>-10.1415391836772</v>
      </c>
    </row>
    <row r="122" spans="1:2">
      <c r="A122" s="1">
        <v>44944</v>
      </c>
      <c r="B122" s="6">
        <v>-10.3268735872216</v>
      </c>
    </row>
    <row r="123" spans="1:2">
      <c r="A123" s="1">
        <v>44945</v>
      </c>
      <c r="B123" s="6">
        <v>-21.1945098982707</v>
      </c>
    </row>
    <row r="124" spans="1:2">
      <c r="A124" s="1">
        <v>44946</v>
      </c>
      <c r="B124" s="6">
        <v>-9.45093286530079</v>
      </c>
    </row>
    <row r="125" spans="1:2">
      <c r="A125" s="1">
        <v>44956</v>
      </c>
      <c r="B125" s="6">
        <v>-1.55874259106089</v>
      </c>
    </row>
    <row r="126" spans="1:2">
      <c r="A126" s="1">
        <v>44957</v>
      </c>
      <c r="B126" s="6">
        <v>-3.33890119852647</v>
      </c>
    </row>
    <row r="127" spans="1:2">
      <c r="A127" s="1">
        <v>44958</v>
      </c>
      <c r="B127" s="6">
        <v>-1.63472316691065</v>
      </c>
    </row>
    <row r="128" spans="1:2">
      <c r="A128" s="1">
        <v>44959</v>
      </c>
      <c r="B128" s="6">
        <v>1.57024673233989</v>
      </c>
    </row>
    <row r="129" spans="1:2">
      <c r="A129" s="1">
        <v>44960</v>
      </c>
      <c r="B129" s="6">
        <v>1.66588260350698</v>
      </c>
    </row>
    <row r="130" spans="1:2">
      <c r="A130" s="1">
        <v>44963</v>
      </c>
      <c r="B130" s="6">
        <v>-0.793378658339301</v>
      </c>
    </row>
    <row r="131" spans="1:2">
      <c r="A131" s="1">
        <v>44964</v>
      </c>
      <c r="B131" s="6">
        <v>4.62191306909885</v>
      </c>
    </row>
    <row r="132" spans="1:2">
      <c r="A132" s="1">
        <v>44965</v>
      </c>
      <c r="B132" s="6">
        <v>5.41817085234579</v>
      </c>
    </row>
    <row r="133" spans="1:2">
      <c r="A133" s="1">
        <v>44966</v>
      </c>
      <c r="B133" s="6">
        <v>-11.0308296899843</v>
      </c>
    </row>
    <row r="134" spans="1:2">
      <c r="A134" s="1">
        <v>44967</v>
      </c>
      <c r="B134" s="6">
        <v>-1.31742847423661</v>
      </c>
    </row>
    <row r="135" spans="1:2">
      <c r="A135" s="1">
        <v>44970</v>
      </c>
      <c r="B135" s="6">
        <v>8.91682151011322</v>
      </c>
    </row>
    <row r="136" spans="1:2">
      <c r="A136" s="1">
        <v>44971</v>
      </c>
      <c r="B136" s="6">
        <v>5.17687658722669</v>
      </c>
    </row>
    <row r="137" spans="1:2">
      <c r="A137" s="1">
        <v>44972</v>
      </c>
      <c r="B137" s="6">
        <v>16.2863018610553</v>
      </c>
    </row>
    <row r="138" spans="1:2">
      <c r="A138" s="1">
        <v>44973</v>
      </c>
      <c r="B138" s="6">
        <v>2.62601410641345</v>
      </c>
    </row>
    <row r="139" spans="1:2">
      <c r="A139" s="1">
        <v>44974</v>
      </c>
      <c r="B139" s="6">
        <v>3.24940459774202</v>
      </c>
    </row>
    <row r="140" spans="1:2">
      <c r="A140" s="1">
        <v>44977</v>
      </c>
      <c r="B140" s="6">
        <v>6.71054794701042</v>
      </c>
    </row>
    <row r="141" spans="1:2">
      <c r="A141" s="1">
        <v>44978</v>
      </c>
      <c r="B141" s="6">
        <v>10.4042134041564</v>
      </c>
    </row>
    <row r="142" spans="1:2">
      <c r="A142" s="1">
        <v>44979</v>
      </c>
      <c r="B142" s="6">
        <v>6.03901336712857</v>
      </c>
    </row>
    <row r="143" spans="1:2">
      <c r="A143" s="1">
        <v>44980</v>
      </c>
      <c r="B143" s="6">
        <v>4.64105435555008</v>
      </c>
    </row>
    <row r="144" spans="1:2">
      <c r="A144" s="1">
        <v>44981</v>
      </c>
      <c r="B144" s="6">
        <v>3.6502004946416</v>
      </c>
    </row>
    <row r="145" spans="1:2">
      <c r="A145" s="1">
        <v>44984</v>
      </c>
      <c r="B145" s="6">
        <v>3.64936952203252</v>
      </c>
    </row>
    <row r="146" spans="1:2">
      <c r="A146" s="1">
        <v>44985</v>
      </c>
      <c r="B146" s="6">
        <v>4.66575973658164</v>
      </c>
    </row>
    <row r="147" spans="1:2">
      <c r="A147" s="1">
        <v>44986</v>
      </c>
      <c r="B147" s="6">
        <v>6.08855125497818</v>
      </c>
    </row>
    <row r="148" spans="1:2">
      <c r="A148" s="1">
        <v>44987</v>
      </c>
      <c r="B148" s="6">
        <v>3.19902521397189</v>
      </c>
    </row>
    <row r="149" spans="1:2">
      <c r="A149" s="1">
        <v>44988</v>
      </c>
      <c r="B149" s="6">
        <v>8.46082851668421</v>
      </c>
    </row>
    <row r="150" spans="1:2">
      <c r="A150" s="1">
        <v>44991</v>
      </c>
      <c r="B150" s="6">
        <v>14.5219887414178</v>
      </c>
    </row>
    <row r="151" spans="1:2">
      <c r="A151" s="1">
        <v>44992</v>
      </c>
      <c r="B151" s="6">
        <v>3.46181696722328</v>
      </c>
    </row>
    <row r="152" spans="1:2">
      <c r="A152" s="1">
        <v>44993</v>
      </c>
      <c r="B152" s="6">
        <v>9.27579798961495</v>
      </c>
    </row>
    <row r="153" spans="1:2">
      <c r="A153" s="1">
        <v>44994</v>
      </c>
      <c r="B153" s="6">
        <v>7.38678825368984</v>
      </c>
    </row>
    <row r="154" spans="1:2">
      <c r="A154" s="1">
        <v>44995</v>
      </c>
      <c r="B154" s="6">
        <v>-0.0620866119534652</v>
      </c>
    </row>
    <row r="155" spans="1:2">
      <c r="A155" s="1">
        <v>44998</v>
      </c>
      <c r="B155" s="6">
        <v>0.0153674556218842</v>
      </c>
    </row>
    <row r="156" spans="1:2">
      <c r="A156" s="1">
        <v>44999</v>
      </c>
      <c r="B156" s="6">
        <v>-5.49393708051762</v>
      </c>
    </row>
    <row r="157" spans="1:2">
      <c r="A157" s="1">
        <v>45000</v>
      </c>
      <c r="B157" s="6">
        <v>-4.56408998983243</v>
      </c>
    </row>
    <row r="158" spans="1:2">
      <c r="A158" s="1">
        <v>45001</v>
      </c>
      <c r="B158" s="6">
        <v>-30.3025542265014</v>
      </c>
    </row>
    <row r="159" spans="1:2">
      <c r="A159" s="1">
        <v>45002</v>
      </c>
      <c r="B159" s="6">
        <v>1.53898973915788</v>
      </c>
    </row>
    <row r="160" spans="1:2">
      <c r="A160" s="1">
        <v>45005</v>
      </c>
      <c r="B160" s="6">
        <v>0.256408415767693</v>
      </c>
    </row>
    <row r="161" spans="1:2">
      <c r="A161" s="1">
        <v>45006</v>
      </c>
      <c r="B161" s="6">
        <v>2.8718809079992</v>
      </c>
    </row>
    <row r="162" spans="1:2">
      <c r="A162" s="1">
        <v>45007</v>
      </c>
      <c r="B162" s="6">
        <v>2.44642107591569</v>
      </c>
    </row>
    <row r="163" spans="1:2">
      <c r="A163" s="1">
        <v>45008</v>
      </c>
      <c r="B163" s="6">
        <v>3.19498647599293</v>
      </c>
    </row>
    <row r="164" spans="1:2">
      <c r="A164" s="1">
        <v>45009</v>
      </c>
      <c r="B164" s="6">
        <v>1.99333437401238</v>
      </c>
    </row>
    <row r="165" spans="1:2">
      <c r="A165" s="1">
        <v>45012</v>
      </c>
      <c r="B165" s="6">
        <v>5.09929173978607</v>
      </c>
    </row>
    <row r="166" spans="1:2">
      <c r="A166" s="1">
        <v>45013</v>
      </c>
      <c r="B166" s="6">
        <v>-0.410416522993336</v>
      </c>
    </row>
    <row r="167" spans="1:2">
      <c r="A167" s="1">
        <v>45014</v>
      </c>
      <c r="B167" s="6">
        <v>0.0607354217182418</v>
      </c>
    </row>
    <row r="168" spans="1:2">
      <c r="A168" s="1">
        <v>45015</v>
      </c>
      <c r="B168" s="6">
        <v>-3.20306270101132</v>
      </c>
    </row>
    <row r="169" spans="1:2">
      <c r="A169" s="1">
        <v>45016</v>
      </c>
      <c r="B169" s="6">
        <v>0.486803372145475</v>
      </c>
    </row>
    <row r="170" spans="1:2">
      <c r="A170" s="1">
        <v>45019</v>
      </c>
      <c r="B170" s="6">
        <v>5.69524018762409</v>
      </c>
    </row>
    <row r="171" spans="1:2">
      <c r="A171" s="1">
        <v>45020</v>
      </c>
      <c r="B171" s="6">
        <v>0.874646010362824</v>
      </c>
    </row>
    <row r="172" spans="1:2">
      <c r="A172" s="1">
        <v>45022</v>
      </c>
      <c r="B172" s="6">
        <v>7.04878822957361</v>
      </c>
    </row>
    <row r="173" spans="1:2">
      <c r="A173" s="1">
        <v>45023</v>
      </c>
      <c r="B173" s="6">
        <v>5.38596018372346</v>
      </c>
    </row>
    <row r="174" spans="1:2">
      <c r="A174" s="1">
        <v>45026</v>
      </c>
      <c r="B174" s="6">
        <v>-0.870874199845012</v>
      </c>
    </row>
    <row r="175" spans="1:2">
      <c r="A175" s="1">
        <v>45027</v>
      </c>
      <c r="B175" s="6">
        <v>4.67006388986582</v>
      </c>
    </row>
    <row r="176" spans="1:2">
      <c r="A176" s="1">
        <v>45028</v>
      </c>
      <c r="B176" s="6">
        <v>8.37498945843514</v>
      </c>
    </row>
    <row r="177" spans="1:2">
      <c r="A177" s="1">
        <v>45029</v>
      </c>
      <c r="B177" s="6">
        <v>-0.0931968792133494</v>
      </c>
    </row>
    <row r="178" spans="1:2">
      <c r="A178" s="1">
        <v>45030</v>
      </c>
      <c r="B178" s="6">
        <v>9.43381202158491</v>
      </c>
    </row>
    <row r="179" spans="1:2">
      <c r="A179" s="1">
        <v>45033</v>
      </c>
      <c r="B179" s="6">
        <v>2.26230051935217</v>
      </c>
    </row>
    <row r="180" spans="1:2">
      <c r="A180" s="1">
        <v>45034</v>
      </c>
      <c r="B180" s="6">
        <v>15.0701439880958</v>
      </c>
    </row>
    <row r="181" spans="1:2">
      <c r="A181" s="1">
        <v>45035</v>
      </c>
      <c r="B181" s="6">
        <v>12.4130682646477</v>
      </c>
    </row>
    <row r="182" spans="1:2">
      <c r="A182" s="1">
        <v>45036</v>
      </c>
      <c r="B182" s="6">
        <v>14.5367567528917</v>
      </c>
    </row>
    <row r="183" spans="1:2">
      <c r="A183" s="1">
        <v>45037</v>
      </c>
      <c r="B183" s="6">
        <v>0.679136439261551</v>
      </c>
    </row>
    <row r="184" spans="1:2">
      <c r="A184" s="1">
        <v>45040</v>
      </c>
      <c r="B184" s="6">
        <v>0.671435917432696</v>
      </c>
    </row>
    <row r="185" spans="1:2">
      <c r="A185" s="1">
        <v>45041</v>
      </c>
      <c r="B185" s="6">
        <v>-2.07310669162667</v>
      </c>
    </row>
    <row r="186" spans="1:2">
      <c r="A186" s="1">
        <v>45042</v>
      </c>
      <c r="B186" s="6">
        <v>-1.15723681195346</v>
      </c>
    </row>
    <row r="187" spans="1:2">
      <c r="A187" s="1">
        <v>45043</v>
      </c>
      <c r="B187" s="6">
        <v>-3.7976654582063</v>
      </c>
    </row>
    <row r="188" spans="1:2">
      <c r="A188" s="1">
        <v>45044</v>
      </c>
      <c r="B188" s="6">
        <v>-4.31778862496956</v>
      </c>
    </row>
    <row r="189" spans="1:2">
      <c r="A189" s="1">
        <v>45050</v>
      </c>
      <c r="B189" s="6">
        <v>2.71304816641038</v>
      </c>
    </row>
    <row r="190" spans="1:2">
      <c r="A190" s="1">
        <v>45051</v>
      </c>
      <c r="B190" s="6">
        <v>1.24784490912852</v>
      </c>
    </row>
    <row r="191" spans="1:2">
      <c r="A191" s="1">
        <v>45054</v>
      </c>
      <c r="B191" s="6">
        <v>5.48299150291655</v>
      </c>
    </row>
    <row r="192" spans="1:2">
      <c r="A192" s="1">
        <v>45055</v>
      </c>
      <c r="B192" s="6">
        <v>-0.824850390087536</v>
      </c>
    </row>
    <row r="193" spans="1:2">
      <c r="A193" s="1">
        <v>45056</v>
      </c>
      <c r="B193" s="6">
        <v>1.37282292182617</v>
      </c>
    </row>
    <row r="194" spans="1:2">
      <c r="A194" s="1">
        <v>45057</v>
      </c>
      <c r="B194" s="6">
        <v>3.73244779631019</v>
      </c>
    </row>
    <row r="195" spans="1:2">
      <c r="A195" s="1">
        <v>45058</v>
      </c>
      <c r="B195" s="6">
        <v>-1.69326473768142</v>
      </c>
    </row>
    <row r="196" spans="1:2">
      <c r="A196" s="1">
        <v>45061</v>
      </c>
      <c r="B196" s="6">
        <v>6.61275338980513</v>
      </c>
    </row>
    <row r="197" spans="1:2">
      <c r="A197" s="1">
        <v>45062</v>
      </c>
      <c r="B197" s="6">
        <v>-2.79242543063543</v>
      </c>
    </row>
    <row r="198" spans="1:2">
      <c r="A198" s="1">
        <v>45063</v>
      </c>
      <c r="B198" s="6">
        <v>12.9420680782527</v>
      </c>
    </row>
    <row r="199" spans="1:2">
      <c r="A199" s="1">
        <v>45064</v>
      </c>
      <c r="B199" s="6">
        <v>9.75547599994069</v>
      </c>
    </row>
    <row r="200" spans="1:2">
      <c r="A200" s="1">
        <v>45065</v>
      </c>
      <c r="B200" s="6">
        <v>2.1127862944434</v>
      </c>
    </row>
    <row r="201" spans="1:2">
      <c r="A201" s="1">
        <v>45068</v>
      </c>
      <c r="B201" s="6">
        <v>3.37030815294235</v>
      </c>
    </row>
    <row r="202" spans="1:2">
      <c r="A202" s="1">
        <v>45069</v>
      </c>
      <c r="B202" s="6">
        <v>3.11456458969912</v>
      </c>
    </row>
    <row r="203" spans="1:2">
      <c r="A203" s="1">
        <v>45070</v>
      </c>
      <c r="B203" s="6">
        <v>3.45063048576297</v>
      </c>
    </row>
    <row r="204" spans="1:2">
      <c r="A204" s="1">
        <v>45071</v>
      </c>
      <c r="B204" s="6">
        <v>5.47429346339207</v>
      </c>
    </row>
    <row r="205" spans="1:2">
      <c r="A205" s="1">
        <v>45072</v>
      </c>
      <c r="B205" s="6">
        <v>2.53199433802499</v>
      </c>
    </row>
    <row r="206" spans="1:2">
      <c r="A206" s="1">
        <v>45075</v>
      </c>
      <c r="B206" s="6">
        <v>2.22335589583261</v>
      </c>
    </row>
    <row r="207" spans="1:2">
      <c r="A207" s="1">
        <v>45076</v>
      </c>
      <c r="B207" s="6">
        <v>1.75963541490193</v>
      </c>
    </row>
    <row r="208" spans="1:2">
      <c r="A208" s="1">
        <v>45077</v>
      </c>
      <c r="B208" s="6">
        <v>4.29321626485069</v>
      </c>
    </row>
    <row r="209" spans="1:2">
      <c r="A209" s="1">
        <v>45078</v>
      </c>
      <c r="B209" s="6">
        <v>2.26801770861723</v>
      </c>
    </row>
    <row r="210" spans="1:2">
      <c r="A210" s="1">
        <v>45079</v>
      </c>
      <c r="B210" s="6">
        <v>4.76045288840258</v>
      </c>
    </row>
    <row r="211" spans="1:2">
      <c r="A211" s="1">
        <v>45082</v>
      </c>
      <c r="B211" s="6">
        <v>7.97367013884431</v>
      </c>
    </row>
    <row r="212" spans="1:2">
      <c r="A212" s="1">
        <v>45083</v>
      </c>
      <c r="B212" s="6">
        <v>9.42130628667128</v>
      </c>
    </row>
    <row r="213" spans="1:2">
      <c r="A213" s="1">
        <v>45084</v>
      </c>
      <c r="B213" s="6">
        <v>8.55226694919867</v>
      </c>
    </row>
    <row r="214" spans="1:2">
      <c r="A214" s="1">
        <v>45085</v>
      </c>
      <c r="B214" s="6">
        <v>2.26282580409186</v>
      </c>
    </row>
    <row r="215" spans="1:2">
      <c r="A215" s="1">
        <v>45086</v>
      </c>
      <c r="B215" s="6">
        <v>7.41781890047561</v>
      </c>
    </row>
    <row r="216" spans="1:2">
      <c r="A216" s="1">
        <v>45089</v>
      </c>
      <c r="B216" s="6">
        <v>12.9863574871346</v>
      </c>
    </row>
    <row r="217" spans="1:2">
      <c r="A217" s="1">
        <v>45090</v>
      </c>
      <c r="B217" s="6">
        <v>14.2608684203815</v>
      </c>
    </row>
    <row r="218" spans="1:2">
      <c r="A218" s="1">
        <v>45091</v>
      </c>
      <c r="B218" s="6">
        <v>14.5973762200564</v>
      </c>
    </row>
    <row r="219" spans="1:2">
      <c r="A219" s="1">
        <v>45092</v>
      </c>
      <c r="B219" s="6">
        <v>12.7663782527454</v>
      </c>
    </row>
    <row r="220" spans="1:2">
      <c r="A220" s="1">
        <v>45093</v>
      </c>
      <c r="B220" s="6">
        <v>5.68630231916701</v>
      </c>
    </row>
    <row r="221" spans="1:2">
      <c r="A221" s="1">
        <v>45096</v>
      </c>
      <c r="B221" s="6">
        <v>7.3887980773918</v>
      </c>
    </row>
    <row r="222" spans="1:2">
      <c r="A222" s="1">
        <v>45097</v>
      </c>
      <c r="B222" s="6">
        <v>7.08151661714762</v>
      </c>
    </row>
    <row r="223" spans="1:2">
      <c r="A223" s="1">
        <v>45098</v>
      </c>
      <c r="B223" s="6">
        <v>4.21887436890453</v>
      </c>
    </row>
    <row r="224" spans="1:2">
      <c r="A224" s="1">
        <v>45103</v>
      </c>
      <c r="B224" s="6">
        <v>-1.21231633973951</v>
      </c>
    </row>
    <row r="225" spans="1:2">
      <c r="A225" s="1">
        <v>45104</v>
      </c>
      <c r="B225" s="6">
        <v>5.83816407939584</v>
      </c>
    </row>
    <row r="226" spans="1:2">
      <c r="A226" s="1">
        <v>45105</v>
      </c>
      <c r="B226" s="6">
        <v>2.68211599798868</v>
      </c>
    </row>
    <row r="227" spans="1:2">
      <c r="A227" s="1">
        <v>45106</v>
      </c>
      <c r="B227" s="6">
        <v>6.36934540455016</v>
      </c>
    </row>
    <row r="228" spans="1:2">
      <c r="A228" s="1">
        <v>45107</v>
      </c>
      <c r="B228" s="6">
        <v>6.3988771526461</v>
      </c>
    </row>
    <row r="229" spans="1:2">
      <c r="A229" s="1">
        <v>45110</v>
      </c>
      <c r="B229" s="6">
        <v>7.38064214963936</v>
      </c>
    </row>
    <row r="230" spans="1:2">
      <c r="A230" s="1">
        <v>45111</v>
      </c>
      <c r="B230" s="6">
        <v>6.7375643146596</v>
      </c>
    </row>
    <row r="231" spans="1:2">
      <c r="A231" s="1">
        <v>45112</v>
      </c>
      <c r="B231" s="6">
        <v>5.32235160471096</v>
      </c>
    </row>
    <row r="232" spans="1:2">
      <c r="A232" s="1">
        <v>45113</v>
      </c>
      <c r="B232" s="6">
        <v>9.98633375132234</v>
      </c>
    </row>
    <row r="233" spans="1:2">
      <c r="A233" s="1">
        <v>45114</v>
      </c>
      <c r="B233" s="6">
        <v>2.93664834889045</v>
      </c>
    </row>
    <row r="234" spans="1:2">
      <c r="A234" s="1">
        <v>45117</v>
      </c>
      <c r="B234" s="6">
        <v>2.47129094502666</v>
      </c>
    </row>
    <row r="235" spans="1:2">
      <c r="A235" s="1">
        <v>45118</v>
      </c>
      <c r="B235" s="6">
        <v>3.53356216140628</v>
      </c>
    </row>
    <row r="236" spans="1:2">
      <c r="A236" s="1">
        <v>45119</v>
      </c>
      <c r="B236" s="6">
        <v>-0.392035741797738</v>
      </c>
    </row>
    <row r="237" spans="1:2">
      <c r="A237" s="1">
        <v>45120</v>
      </c>
      <c r="B237" s="6">
        <v>-0.701980156489983</v>
      </c>
    </row>
    <row r="238" spans="1:2">
      <c r="A238" s="1">
        <v>45121</v>
      </c>
      <c r="B238" s="6">
        <v>2.20243557783327</v>
      </c>
    </row>
    <row r="239" spans="1:2">
      <c r="A239" s="1">
        <v>45124</v>
      </c>
      <c r="B239" s="6">
        <v>1.35040573554162</v>
      </c>
    </row>
    <row r="240" spans="1:2">
      <c r="A240" s="1">
        <v>45125</v>
      </c>
      <c r="B240" s="6">
        <v>-4.76754415157379</v>
      </c>
    </row>
    <row r="241" spans="1:2">
      <c r="A241" s="1">
        <v>45126</v>
      </c>
      <c r="B241" s="6">
        <v>-11.1044815979571</v>
      </c>
    </row>
    <row r="242" spans="1:2">
      <c r="A242" s="1">
        <v>45127</v>
      </c>
      <c r="B242" s="6">
        <v>-14.511778082243</v>
      </c>
    </row>
    <row r="243" spans="1:2">
      <c r="A243" s="1">
        <v>45128</v>
      </c>
      <c r="B243" s="6">
        <v>-1.03831181038965</v>
      </c>
    </row>
    <row r="244" spans="1:2">
      <c r="A244" s="1">
        <v>45131</v>
      </c>
      <c r="B244" s="6">
        <v>0.03788830349831</v>
      </c>
    </row>
    <row r="245" spans="1:2">
      <c r="A245" s="1">
        <v>45132</v>
      </c>
      <c r="B245" s="6">
        <v>0.13542068312091</v>
      </c>
    </row>
    <row r="246" spans="1:2">
      <c r="A246" s="1">
        <v>45133</v>
      </c>
      <c r="B246" s="6">
        <v>-2.39749763579822</v>
      </c>
    </row>
    <row r="247" spans="1:2">
      <c r="A247" s="1">
        <v>45134</v>
      </c>
      <c r="B247" s="6">
        <v>-3.08778848408506</v>
      </c>
    </row>
    <row r="248" spans="1:2">
      <c r="A248" s="1">
        <v>45135</v>
      </c>
      <c r="B248" s="6">
        <v>-1.98743749068414</v>
      </c>
    </row>
    <row r="249" spans="1:2">
      <c r="A249" s="1">
        <v>45138</v>
      </c>
      <c r="B249" s="6">
        <v>-2.23849072654433</v>
      </c>
    </row>
    <row r="250" spans="1:2">
      <c r="A250" s="1">
        <v>45139</v>
      </c>
      <c r="B250" s="6">
        <v>-0.435657036274466</v>
      </c>
    </row>
    <row r="251" spans="1:2">
      <c r="A251" s="1">
        <v>45140</v>
      </c>
      <c r="B251" s="6">
        <v>0.065779900245414</v>
      </c>
    </row>
    <row r="252" spans="1:2">
      <c r="A252" s="1">
        <v>45141</v>
      </c>
      <c r="B252" s="6">
        <v>1.26444752459155</v>
      </c>
    </row>
    <row r="253" spans="1:2">
      <c r="A253" s="1">
        <v>45142</v>
      </c>
      <c r="B253" s="6">
        <v>0.251083128101191</v>
      </c>
    </row>
    <row r="254" spans="1:2">
      <c r="A254" s="1">
        <v>45145</v>
      </c>
      <c r="B254" s="6">
        <v>-4.4655332329078</v>
      </c>
    </row>
    <row r="255" spans="1:2">
      <c r="A255" s="1">
        <v>45146</v>
      </c>
      <c r="B255" s="6">
        <v>-5.77571897837292</v>
      </c>
    </row>
    <row r="256" spans="1:2">
      <c r="A256" s="1">
        <v>45147</v>
      </c>
      <c r="B256" s="6">
        <v>-5.9488612386823</v>
      </c>
    </row>
    <row r="257" spans="1:2">
      <c r="A257" s="1">
        <v>45148</v>
      </c>
      <c r="B257" s="6">
        <v>1.23044744981971</v>
      </c>
    </row>
    <row r="258" spans="1:2">
      <c r="A258" s="1">
        <v>45149</v>
      </c>
      <c r="B258" s="6">
        <v>0.419929120722904</v>
      </c>
    </row>
    <row r="259" spans="1:2">
      <c r="A259" s="1">
        <v>45152</v>
      </c>
      <c r="B259" s="6">
        <v>-3.00083522073341</v>
      </c>
    </row>
    <row r="260" spans="1:2">
      <c r="A260" s="1">
        <v>45153</v>
      </c>
      <c r="B260" s="6">
        <v>-6.4545826312979</v>
      </c>
    </row>
    <row r="261" spans="1:2">
      <c r="A261" s="1">
        <v>45154</v>
      </c>
      <c r="B261" s="6">
        <v>-2.95958199985153</v>
      </c>
    </row>
    <row r="262" spans="1:2">
      <c r="A262" s="1">
        <v>45155</v>
      </c>
      <c r="B262" s="6">
        <v>7.60511902720485</v>
      </c>
    </row>
    <row r="263" spans="1:2">
      <c r="A263" s="1">
        <v>45156</v>
      </c>
      <c r="B263" s="6">
        <v>-2.00308649772848</v>
      </c>
    </row>
    <row r="264" spans="1:2">
      <c r="A264" s="1">
        <v>45159</v>
      </c>
      <c r="B264" s="6">
        <v>0.69562179095224</v>
      </c>
    </row>
    <row r="265" spans="1:2">
      <c r="A265" s="1">
        <v>45160</v>
      </c>
      <c r="B265" s="6">
        <v>3.27799956393213</v>
      </c>
    </row>
    <row r="266" spans="1:2">
      <c r="A266" s="1">
        <v>45161</v>
      </c>
      <c r="B266" s="6">
        <v>-0.262471207473662</v>
      </c>
    </row>
    <row r="267" spans="1:2">
      <c r="A267" s="1">
        <v>45162</v>
      </c>
      <c r="B267" s="6">
        <v>2.54586583487101</v>
      </c>
    </row>
    <row r="268" spans="1:2">
      <c r="A268" s="1">
        <v>45163</v>
      </c>
      <c r="B268" s="6">
        <v>-0.737048009374757</v>
      </c>
    </row>
    <row r="269" spans="1:2">
      <c r="A269" s="1">
        <v>45166</v>
      </c>
      <c r="B269" s="6">
        <v>4.09808128001618</v>
      </c>
    </row>
    <row r="270" spans="1:2">
      <c r="A270" s="1">
        <v>45167</v>
      </c>
      <c r="B270" s="6">
        <v>2.79426059616042</v>
      </c>
    </row>
    <row r="271" spans="1:2">
      <c r="A271" s="1">
        <v>45168</v>
      </c>
      <c r="B271" s="6">
        <v>3.57905134156604</v>
      </c>
    </row>
    <row r="272" spans="1:2">
      <c r="A272" s="1">
        <v>45169</v>
      </c>
      <c r="B272" s="6">
        <v>-2.15172940055307</v>
      </c>
    </row>
    <row r="273" spans="1:2">
      <c r="A273" s="1">
        <v>45170</v>
      </c>
      <c r="B273" s="6">
        <v>1.562835027456</v>
      </c>
    </row>
    <row r="274" spans="1:2">
      <c r="A274" s="1">
        <v>45173</v>
      </c>
      <c r="B274" s="6">
        <v>0.307440406288979</v>
      </c>
    </row>
    <row r="275" spans="1:2">
      <c r="A275" s="1">
        <v>45174</v>
      </c>
      <c r="B275" s="6">
        <v>2.45100869981496</v>
      </c>
    </row>
    <row r="276" spans="1:2">
      <c r="A276" s="1">
        <v>45175</v>
      </c>
      <c r="B276" s="6">
        <v>8.36449524959142</v>
      </c>
    </row>
    <row r="277" spans="1:2">
      <c r="A277" s="1">
        <v>45176</v>
      </c>
      <c r="B277" s="6">
        <v>3.6922536732804</v>
      </c>
    </row>
    <row r="278" spans="1:2">
      <c r="A278" s="1">
        <v>45177</v>
      </c>
      <c r="B278" s="6">
        <v>18.4953925543238</v>
      </c>
    </row>
    <row r="279" spans="1:2">
      <c r="A279" s="1">
        <v>45180</v>
      </c>
      <c r="B279" s="6">
        <v>14.2684117002187</v>
      </c>
    </row>
    <row r="280" spans="1:2">
      <c r="A280" s="1">
        <v>45181</v>
      </c>
      <c r="B280" s="6">
        <v>12.5371769842735</v>
      </c>
    </row>
    <row r="281" spans="1:2">
      <c r="A281" s="1">
        <v>45182</v>
      </c>
      <c r="B281" s="6">
        <v>12.4758245909709</v>
      </c>
    </row>
    <row r="282" spans="1:2">
      <c r="A282" s="1">
        <v>45183</v>
      </c>
      <c r="B282" s="6">
        <v>-17.4808477929198</v>
      </c>
    </row>
    <row r="283" spans="1:2">
      <c r="A283" s="1">
        <v>45184</v>
      </c>
      <c r="B283" s="6">
        <v>2.39823135906861</v>
      </c>
    </row>
    <row r="284" spans="1:2">
      <c r="A284" s="1">
        <v>45187</v>
      </c>
      <c r="B284" s="6">
        <v>0.079847457755561</v>
      </c>
    </row>
    <row r="285" spans="1:2">
      <c r="A285" s="1">
        <v>45188</v>
      </c>
      <c r="B285" s="6">
        <v>-1.87879836728559</v>
      </c>
    </row>
    <row r="286" spans="1:2">
      <c r="A286" s="1">
        <v>45189</v>
      </c>
      <c r="B286" s="6">
        <v>-1.14111136642636</v>
      </c>
    </row>
    <row r="287" spans="1:2">
      <c r="A287" s="1">
        <v>45190</v>
      </c>
      <c r="B287" s="6">
        <v>-0.561953102463454</v>
      </c>
    </row>
    <row r="288" spans="1:2">
      <c r="A288" s="1">
        <v>45191</v>
      </c>
      <c r="B288" s="6">
        <v>-2.77242497525592</v>
      </c>
    </row>
    <row r="289" spans="1:2">
      <c r="A289" s="1">
        <v>45194</v>
      </c>
      <c r="B289" s="6">
        <v>-1.18690246710415</v>
      </c>
    </row>
    <row r="290" spans="1:2">
      <c r="A290" s="1">
        <v>45195</v>
      </c>
      <c r="B290" s="6">
        <v>-3.55666464149064</v>
      </c>
    </row>
    <row r="291" spans="1:2">
      <c r="A291" s="1">
        <v>45196</v>
      </c>
      <c r="B291" s="6">
        <v>-5.57236016001726</v>
      </c>
    </row>
    <row r="292" spans="1:2">
      <c r="A292" s="1">
        <v>45197</v>
      </c>
      <c r="B292" s="6">
        <v>1.47487466421727</v>
      </c>
    </row>
    <row r="293" spans="1:2">
      <c r="A293" s="1">
        <v>45208</v>
      </c>
      <c r="B293" s="6">
        <v>2.04832037729077</v>
      </c>
    </row>
    <row r="294" spans="1:2">
      <c r="A294" s="1">
        <v>45209</v>
      </c>
      <c r="B294" s="6">
        <v>4.44997356049417</v>
      </c>
    </row>
    <row r="295" spans="1:2">
      <c r="A295" s="1">
        <v>45210</v>
      </c>
      <c r="B295" s="6">
        <v>9.79954472070464</v>
      </c>
    </row>
    <row r="296" spans="1:2">
      <c r="A296" s="1">
        <v>45211</v>
      </c>
      <c r="B296" s="6">
        <v>6.70224714028897</v>
      </c>
    </row>
    <row r="297" spans="1:2">
      <c r="A297" s="1">
        <v>45212</v>
      </c>
      <c r="B297" s="6">
        <v>-1.59915290030476</v>
      </c>
    </row>
    <row r="298" spans="1:2">
      <c r="A298" s="1">
        <v>45215</v>
      </c>
      <c r="B298" s="6">
        <v>9.09590486915558</v>
      </c>
    </row>
    <row r="299" spans="1:2">
      <c r="A299" s="1">
        <v>45216</v>
      </c>
      <c r="B299" s="6">
        <v>4.95914425361092</v>
      </c>
    </row>
    <row r="300" spans="1:2">
      <c r="A300" s="1">
        <v>45217</v>
      </c>
      <c r="B300" s="6">
        <v>4.80661188034638</v>
      </c>
    </row>
    <row r="301" spans="1:2">
      <c r="A301" s="1">
        <v>45218</v>
      </c>
      <c r="B301" s="6">
        <v>-4.93869345340422</v>
      </c>
    </row>
    <row r="302" spans="1:2">
      <c r="A302" s="1">
        <v>45219</v>
      </c>
      <c r="B302" s="6">
        <v>1.67407879484797</v>
      </c>
    </row>
    <row r="303" spans="1:2">
      <c r="A303" s="1">
        <v>45222</v>
      </c>
      <c r="B303" s="6">
        <v>8.01155708157598</v>
      </c>
    </row>
    <row r="304" spans="1:2">
      <c r="A304" s="1">
        <v>45223</v>
      </c>
      <c r="B304" s="6">
        <v>10.1508845112947</v>
      </c>
    </row>
    <row r="305" spans="1:2">
      <c r="A305" s="1">
        <v>45224</v>
      </c>
      <c r="B305" s="6">
        <v>9.44642659626437</v>
      </c>
    </row>
    <row r="306" spans="1:2">
      <c r="A306" s="1">
        <v>45225</v>
      </c>
      <c r="B306" s="6">
        <v>7.81682390141849</v>
      </c>
    </row>
    <row r="307" spans="1:2">
      <c r="A307" s="1">
        <v>45226</v>
      </c>
      <c r="B307" s="6">
        <v>2.55588405913489</v>
      </c>
    </row>
    <row r="308" spans="1:2">
      <c r="A308" s="1">
        <v>45229</v>
      </c>
      <c r="B308" s="6">
        <v>8.75684383093819</v>
      </c>
    </row>
    <row r="309" spans="1:2">
      <c r="A309" s="1">
        <v>45230</v>
      </c>
      <c r="B309" s="6">
        <v>7.28164213744274</v>
      </c>
    </row>
    <row r="310" spans="1:2">
      <c r="A310" s="1">
        <v>45231</v>
      </c>
      <c r="B310" s="6">
        <v>7.17078591929877</v>
      </c>
    </row>
    <row r="311" spans="1:2">
      <c r="A311" s="1">
        <v>45232</v>
      </c>
      <c r="B311" s="6">
        <v>2.77770848964236</v>
      </c>
    </row>
    <row r="312" spans="1:2">
      <c r="A312" s="1">
        <v>45233</v>
      </c>
      <c r="B312" s="6">
        <v>5.7708841131439</v>
      </c>
    </row>
    <row r="313" spans="1:2">
      <c r="A313" s="1">
        <v>45236</v>
      </c>
      <c r="B313" s="6">
        <v>4.41621308507982</v>
      </c>
    </row>
    <row r="314" spans="1:2">
      <c r="A314" s="1">
        <v>45237</v>
      </c>
      <c r="B314" s="6">
        <v>8.51799423318603</v>
      </c>
    </row>
    <row r="315" spans="1:2">
      <c r="A315" s="1">
        <v>45238</v>
      </c>
      <c r="B315" s="6">
        <v>14.4251850772162</v>
      </c>
    </row>
    <row r="316" spans="1:2">
      <c r="A316" s="1">
        <v>45239</v>
      </c>
      <c r="B316" s="6">
        <v>16.6801310623024</v>
      </c>
    </row>
    <row r="317" spans="1:2">
      <c r="A317" s="1">
        <v>45240</v>
      </c>
      <c r="B317" s="6">
        <v>15.4376310507966</v>
      </c>
    </row>
    <row r="318" spans="1:2">
      <c r="A318" s="1">
        <v>45243</v>
      </c>
      <c r="B318" s="6">
        <v>16.7907461901805</v>
      </c>
    </row>
    <row r="319" spans="1:2">
      <c r="A319" s="1">
        <v>45244</v>
      </c>
      <c r="B319" s="6">
        <v>16.762025549227</v>
      </c>
    </row>
    <row r="320" spans="1:2">
      <c r="A320" s="1">
        <v>45245</v>
      </c>
      <c r="B320" s="6">
        <v>10.8311206851209</v>
      </c>
    </row>
    <row r="321" spans="1:2">
      <c r="A321" s="1">
        <v>45246</v>
      </c>
      <c r="B321" s="6">
        <v>10.4203565219287</v>
      </c>
    </row>
    <row r="322" spans="1:2">
      <c r="A322" s="1">
        <v>45247</v>
      </c>
      <c r="B322" s="6">
        <v>8.8390041095118</v>
      </c>
    </row>
    <row r="323" spans="1:2">
      <c r="A323" s="1">
        <v>45250</v>
      </c>
      <c r="B323" s="6">
        <v>7.89098436665732</v>
      </c>
    </row>
    <row r="324" spans="1:2">
      <c r="A324" s="1">
        <v>45251</v>
      </c>
      <c r="B324" s="6">
        <v>10.6593323964276</v>
      </c>
    </row>
    <row r="325" spans="1:2">
      <c r="A325" s="1">
        <v>45252</v>
      </c>
      <c r="B325" s="6">
        <v>9.05180374658985</v>
      </c>
    </row>
    <row r="326" spans="1:2">
      <c r="A326" s="1">
        <v>45253</v>
      </c>
      <c r="B326" s="6">
        <v>4.96538291649098</v>
      </c>
    </row>
    <row r="327" spans="1:2">
      <c r="A327" s="1">
        <v>45254</v>
      </c>
      <c r="B327" s="6">
        <v>8.79111533243436</v>
      </c>
    </row>
    <row r="328" spans="1:2">
      <c r="A328" s="1">
        <v>45257</v>
      </c>
      <c r="B328" s="6">
        <v>8.22631358719191</v>
      </c>
    </row>
    <row r="329" spans="1:2">
      <c r="A329" s="1">
        <v>45258</v>
      </c>
      <c r="B329" s="6">
        <v>13.4006294730703</v>
      </c>
    </row>
    <row r="330" spans="1:2">
      <c r="A330" s="1">
        <v>45259</v>
      </c>
      <c r="B330" s="6">
        <v>12.1945913266111</v>
      </c>
    </row>
    <row r="331" spans="1:2">
      <c r="A331" s="1">
        <v>45260</v>
      </c>
      <c r="B331" s="6">
        <v>15.2628127041858</v>
      </c>
    </row>
    <row r="332" spans="1:2">
      <c r="A332" s="1">
        <v>45261</v>
      </c>
      <c r="B332" s="6">
        <v>14.0333253344876</v>
      </c>
    </row>
    <row r="333" spans="1:2">
      <c r="A333" s="1">
        <v>45264</v>
      </c>
      <c r="B333" s="6">
        <v>22.8119960762741</v>
      </c>
    </row>
    <row r="334" spans="1:2">
      <c r="A334" s="1">
        <v>45265</v>
      </c>
      <c r="B334" s="6">
        <v>15.9457304183777</v>
      </c>
    </row>
    <row r="335" spans="1:2">
      <c r="A335" s="1">
        <v>45266</v>
      </c>
      <c r="B335" s="6">
        <v>13.490023147501</v>
      </c>
    </row>
    <row r="336" spans="1:2">
      <c r="A336" s="1">
        <v>45267</v>
      </c>
      <c r="B336" s="6">
        <v>3.93301229677555</v>
      </c>
    </row>
    <row r="337" spans="1:2">
      <c r="A337" s="1">
        <v>45268</v>
      </c>
      <c r="B337" s="6">
        <v>1.62657836404096</v>
      </c>
    </row>
    <row r="338" spans="1:2">
      <c r="A338" s="1">
        <v>45271</v>
      </c>
      <c r="B338" s="6">
        <v>3.68686527169098</v>
      </c>
    </row>
    <row r="339" spans="1:2">
      <c r="A339" s="1">
        <v>45272</v>
      </c>
      <c r="B339" s="6">
        <v>-0.0103841264817085</v>
      </c>
    </row>
    <row r="340" spans="1:2">
      <c r="A340" s="1">
        <v>45273</v>
      </c>
      <c r="B340" s="6">
        <v>-4.21805953224927</v>
      </c>
    </row>
    <row r="341" spans="1:2">
      <c r="A341" s="1">
        <v>45274</v>
      </c>
      <c r="B341" s="6">
        <v>-16.9765667011411</v>
      </c>
    </row>
    <row r="342" spans="1:2">
      <c r="A342" s="1">
        <v>45275</v>
      </c>
      <c r="B342" s="6">
        <v>8.16592135731966</v>
      </c>
    </row>
    <row r="343" spans="1:2">
      <c r="A343" s="1">
        <v>45278</v>
      </c>
      <c r="B343" s="6">
        <v>4.51830741075647</v>
      </c>
    </row>
    <row r="344" spans="1:2">
      <c r="A344" s="1">
        <v>45279</v>
      </c>
      <c r="B344" s="6">
        <v>4.73484035009776</v>
      </c>
    </row>
    <row r="345" spans="1:2">
      <c r="A345" s="1">
        <v>45280</v>
      </c>
      <c r="B345" s="6">
        <v>3.21744484246308</v>
      </c>
    </row>
    <row r="346" spans="1:2">
      <c r="A346" s="1">
        <v>45281</v>
      </c>
      <c r="B346" s="6">
        <v>5.89437335502813</v>
      </c>
    </row>
    <row r="347" spans="1:2">
      <c r="A347" s="1">
        <v>45282</v>
      </c>
      <c r="B347" s="6">
        <v>2.42175542761069</v>
      </c>
    </row>
    <row r="348" spans="1:2">
      <c r="A348" s="1">
        <v>45285</v>
      </c>
      <c r="B348" s="6">
        <v>4.15805694822809</v>
      </c>
    </row>
    <row r="349" spans="1:2">
      <c r="A349" s="1">
        <v>45286</v>
      </c>
      <c r="B349" s="6">
        <v>3.68340406772611</v>
      </c>
    </row>
    <row r="350" spans="1:2">
      <c r="A350" s="1">
        <v>45287</v>
      </c>
      <c r="B350" s="6">
        <v>5.97941460469938</v>
      </c>
    </row>
    <row r="351" spans="1:2">
      <c r="A351" s="1">
        <v>45288</v>
      </c>
      <c r="B351" s="6">
        <v>0.572487853859291</v>
      </c>
    </row>
    <row r="352" spans="1:2">
      <c r="A352" s="1">
        <v>45289</v>
      </c>
      <c r="B352" s="6">
        <v>-2.14163921320181</v>
      </c>
    </row>
    <row r="353" spans="1:2">
      <c r="A353" s="1">
        <v>45293</v>
      </c>
      <c r="B353" s="6">
        <v>6.45062378148662</v>
      </c>
    </row>
    <row r="354" spans="1:2">
      <c r="A354" s="1">
        <v>45294</v>
      </c>
      <c r="B354" s="6">
        <v>4.8349972237896</v>
      </c>
    </row>
    <row r="355" spans="1:2">
      <c r="A355" s="1">
        <v>45295</v>
      </c>
      <c r="B355" s="6">
        <v>6.41804003464996</v>
      </c>
    </row>
    <row r="356" spans="1:2">
      <c r="A356" s="1">
        <v>45296</v>
      </c>
      <c r="B356" s="6">
        <v>4.40830221336766</v>
      </c>
    </row>
    <row r="357" spans="1:2">
      <c r="A357" s="1">
        <v>45299</v>
      </c>
      <c r="B357" s="6">
        <v>28.5801606887397</v>
      </c>
    </row>
    <row r="358" spans="1:2">
      <c r="A358" s="1">
        <v>45300</v>
      </c>
      <c r="B358" s="6">
        <v>19.9598411207953</v>
      </c>
    </row>
    <row r="359" spans="1:2">
      <c r="A359" s="1">
        <v>45301</v>
      </c>
      <c r="B359" s="6">
        <v>15.572987426172</v>
      </c>
    </row>
    <row r="360" spans="1:2">
      <c r="A360" s="1">
        <v>45302</v>
      </c>
      <c r="B360" s="6">
        <v>10.1297032023756</v>
      </c>
    </row>
    <row r="361" spans="1:2">
      <c r="A361" s="1">
        <v>45303</v>
      </c>
      <c r="B361" s="6">
        <v>17.5595951698513</v>
      </c>
    </row>
    <row r="362" spans="1:2">
      <c r="A362" s="1">
        <v>45306</v>
      </c>
      <c r="B362" s="6">
        <v>26.2403550326515</v>
      </c>
    </row>
    <row r="363" spans="1:2">
      <c r="A363" s="1">
        <v>45307</v>
      </c>
      <c r="B363" s="6">
        <v>29.8698255489636</v>
      </c>
    </row>
    <row r="364" spans="1:2">
      <c r="A364" s="1">
        <v>45308</v>
      </c>
      <c r="B364" s="6">
        <v>66.0614771307702</v>
      </c>
    </row>
    <row r="365" spans="1:2">
      <c r="A365" s="1">
        <v>45309</v>
      </c>
      <c r="B365" s="6">
        <v>67.0519870952286</v>
      </c>
    </row>
    <row r="366" spans="1:2">
      <c r="A366" s="1">
        <v>45310</v>
      </c>
      <c r="B366" s="6">
        <v>26.3762580539593</v>
      </c>
    </row>
    <row r="367" spans="1:2">
      <c r="A367" s="1">
        <v>45313</v>
      </c>
      <c r="B367" s="6">
        <v>56.8017300155719</v>
      </c>
    </row>
    <row r="368" spans="1:2">
      <c r="A368" s="1">
        <v>45314</v>
      </c>
      <c r="B368" s="6">
        <v>28.6970690126413</v>
      </c>
    </row>
    <row r="369" spans="1:2">
      <c r="A369" s="1">
        <v>45315</v>
      </c>
      <c r="B369" s="6">
        <v>19.669614016187</v>
      </c>
    </row>
    <row r="370" spans="1:2">
      <c r="A370" s="1">
        <v>45316</v>
      </c>
      <c r="B370" s="6">
        <v>3.76012981715907</v>
      </c>
    </row>
    <row r="371" spans="1:2">
      <c r="A371" s="1">
        <v>45317</v>
      </c>
      <c r="B371" s="6">
        <v>22.8424037971433</v>
      </c>
    </row>
    <row r="372" spans="1:2">
      <c r="A372" s="1">
        <v>45320</v>
      </c>
      <c r="B372" s="6">
        <v>33.2504489893441</v>
      </c>
    </row>
    <row r="373" spans="1:2">
      <c r="A373" s="1">
        <v>45321</v>
      </c>
      <c r="B373" s="6">
        <v>43.1656561820152</v>
      </c>
    </row>
    <row r="374" spans="1:2">
      <c r="A374" s="1">
        <v>45322</v>
      </c>
      <c r="B374" s="6">
        <v>37.7688174290164</v>
      </c>
    </row>
    <row r="375" spans="1:2">
      <c r="A375" s="1">
        <v>45323</v>
      </c>
      <c r="B375" s="6">
        <v>38.5256477971311</v>
      </c>
    </row>
    <row r="376" spans="1:2">
      <c r="A376" s="1">
        <v>45324</v>
      </c>
      <c r="B376" s="6">
        <v>61.4518021689237</v>
      </c>
    </row>
    <row r="377" spans="1:2">
      <c r="A377" s="1">
        <v>45327</v>
      </c>
      <c r="B377" s="6">
        <v>135.648281491831</v>
      </c>
    </row>
    <row r="378" spans="1:2">
      <c r="A378" s="1">
        <v>45328</v>
      </c>
      <c r="B378" s="6">
        <v>-22.5310294447981</v>
      </c>
    </row>
    <row r="379" spans="1:2">
      <c r="A379" s="1">
        <v>45329</v>
      </c>
      <c r="B379" s="6">
        <v>1.14767420534818</v>
      </c>
    </row>
    <row r="380" spans="1:2">
      <c r="A380" s="1">
        <v>45330</v>
      </c>
      <c r="B380" s="6">
        <v>3.0290821084589</v>
      </c>
    </row>
    <row r="381" spans="1:2">
      <c r="A381" s="1">
        <v>45341</v>
      </c>
      <c r="B381" s="6">
        <v>18.6362502075469</v>
      </c>
    </row>
    <row r="382" spans="1:2">
      <c r="A382" s="1">
        <v>45342</v>
      </c>
      <c r="B382" s="6">
        <v>14.8663775603375</v>
      </c>
    </row>
    <row r="383" spans="1:2">
      <c r="A383" s="1">
        <v>45343</v>
      </c>
      <c r="B383" s="6">
        <v>19.7328039804809</v>
      </c>
    </row>
    <row r="384" spans="1:2">
      <c r="A384" s="1">
        <v>45344</v>
      </c>
      <c r="B384" s="6">
        <v>8.31685403386139</v>
      </c>
    </row>
    <row r="385" spans="1:2">
      <c r="A385" s="1">
        <v>45345</v>
      </c>
      <c r="B385" s="6">
        <v>2.59228137783002</v>
      </c>
    </row>
    <row r="386" spans="1:2">
      <c r="A386" s="1">
        <v>45348</v>
      </c>
      <c r="B386" s="6">
        <v>12.8110226970138</v>
      </c>
    </row>
    <row r="387" spans="1:2">
      <c r="A387" s="1">
        <v>45349</v>
      </c>
      <c r="B387" s="6">
        <v>2.65975060267245</v>
      </c>
    </row>
    <row r="388" spans="1:2">
      <c r="A388" s="1">
        <v>45350</v>
      </c>
      <c r="B388" s="6">
        <v>12.8596635150655</v>
      </c>
    </row>
    <row r="389" spans="1:2">
      <c r="A389" s="1">
        <v>45351</v>
      </c>
      <c r="B389" s="6">
        <v>4.21187954787248</v>
      </c>
    </row>
    <row r="390" spans="1:2">
      <c r="A390" s="1">
        <v>45352</v>
      </c>
      <c r="B390" s="6">
        <v>4.1817472914535</v>
      </c>
    </row>
    <row r="391" spans="1:2">
      <c r="A391" s="1">
        <v>45355</v>
      </c>
      <c r="B391" s="6">
        <v>20.6949253469151</v>
      </c>
    </row>
    <row r="392" spans="1:2">
      <c r="A392" s="1">
        <v>45356</v>
      </c>
      <c r="B392" s="6">
        <v>32.9354720741076</v>
      </c>
    </row>
    <row r="393" spans="1:2">
      <c r="A393" s="1">
        <v>45357</v>
      </c>
      <c r="B393" s="6">
        <v>21.171478562123</v>
      </c>
    </row>
    <row r="394" spans="1:2">
      <c r="A394" s="1">
        <v>45358</v>
      </c>
      <c r="B394" s="6">
        <v>17.6956638467623</v>
      </c>
    </row>
    <row r="395" spans="1:2">
      <c r="A395" s="1">
        <v>45359</v>
      </c>
      <c r="B395" s="6">
        <v>17.3575036767939</v>
      </c>
    </row>
    <row r="396" spans="1:2">
      <c r="A396" s="1">
        <v>45362</v>
      </c>
      <c r="B396" s="6">
        <v>3.33431169077968</v>
      </c>
    </row>
    <row r="397" spans="1:2">
      <c r="A397" s="1">
        <v>45363</v>
      </c>
      <c r="B397" s="6">
        <v>9.27353168016671</v>
      </c>
    </row>
    <row r="398" spans="1:2">
      <c r="A398" s="1">
        <v>45364</v>
      </c>
      <c r="B398" s="6">
        <v>6.61591760739908</v>
      </c>
    </row>
    <row r="399" spans="1:2">
      <c r="A399" s="1">
        <v>45365</v>
      </c>
      <c r="B399" s="6">
        <v>-0.806275804812859</v>
      </c>
    </row>
    <row r="400" spans="1:2">
      <c r="A400" s="1">
        <v>45366</v>
      </c>
      <c r="B400" s="6">
        <v>4.39571736193376</v>
      </c>
    </row>
    <row r="401" spans="1:2">
      <c r="A401" s="1">
        <v>45369</v>
      </c>
      <c r="B401" s="6">
        <v>1.61882670567284</v>
      </c>
    </row>
    <row r="402" spans="1:2">
      <c r="A402" s="1">
        <v>45370</v>
      </c>
      <c r="B402" s="6">
        <v>5.24369017051123</v>
      </c>
    </row>
    <row r="403" spans="1:2">
      <c r="A403" s="1">
        <v>45371</v>
      </c>
      <c r="B403" s="6">
        <v>6.34326272695999</v>
      </c>
    </row>
    <row r="404" spans="1:2">
      <c r="A404" s="1">
        <v>45372</v>
      </c>
      <c r="B404" s="6">
        <v>6.91009531978934</v>
      </c>
    </row>
    <row r="405" spans="1:2">
      <c r="A405" s="1">
        <v>45373</v>
      </c>
      <c r="B405" s="6">
        <v>8.71994174606377</v>
      </c>
    </row>
    <row r="406" spans="1:2">
      <c r="A406" s="1">
        <v>45376</v>
      </c>
      <c r="B406" s="6">
        <v>7.79087770356534</v>
      </c>
    </row>
    <row r="407" spans="1:2">
      <c r="A407" s="1">
        <v>45377</v>
      </c>
      <c r="B407" s="6">
        <v>12.6194607406656</v>
      </c>
    </row>
    <row r="408" spans="1:2">
      <c r="A408" s="1">
        <v>45378</v>
      </c>
      <c r="B408" s="6">
        <v>14.6661470730126</v>
      </c>
    </row>
    <row r="409" spans="1:2">
      <c r="A409" s="1">
        <v>45379</v>
      </c>
      <c r="B409" s="6">
        <v>10.1061771169973</v>
      </c>
    </row>
    <row r="410" spans="1:2">
      <c r="A410" s="1">
        <v>45380</v>
      </c>
      <c r="B410" s="6">
        <v>9.60265321515414</v>
      </c>
    </row>
    <row r="411" spans="1:2">
      <c r="A411" s="1">
        <v>45383</v>
      </c>
      <c r="B411" s="6">
        <v>6.03855324675968</v>
      </c>
    </row>
    <row r="412" spans="1:2">
      <c r="A412" s="1">
        <v>45384</v>
      </c>
      <c r="B412" s="6">
        <v>9.21019753408452</v>
      </c>
    </row>
    <row r="413" spans="1:2">
      <c r="A413" s="1">
        <v>45385</v>
      </c>
      <c r="B413" s="6">
        <v>10.7115842094592</v>
      </c>
    </row>
    <row r="414" spans="1:2">
      <c r="A414" s="1">
        <v>45390</v>
      </c>
      <c r="B414" s="6">
        <v>23.8498207416161</v>
      </c>
    </row>
    <row r="415" spans="1:2">
      <c r="A415" s="1">
        <v>45391</v>
      </c>
      <c r="B415" s="6">
        <v>18.9510106827463</v>
      </c>
    </row>
    <row r="416" spans="1:2">
      <c r="A416" s="1">
        <v>45392</v>
      </c>
      <c r="B416" s="6">
        <v>21.5736458887914</v>
      </c>
    </row>
    <row r="417" spans="1:2">
      <c r="A417" s="1">
        <v>45393</v>
      </c>
      <c r="B417" s="6">
        <v>17.3365050136434</v>
      </c>
    </row>
    <row r="418" spans="1:2">
      <c r="A418" s="1">
        <v>45394</v>
      </c>
      <c r="B418" s="6">
        <v>23.2335073284929</v>
      </c>
    </row>
    <row r="419" spans="1:2">
      <c r="A419" s="1">
        <v>45397</v>
      </c>
      <c r="B419" s="6">
        <v>23.3677978761838</v>
      </c>
    </row>
    <row r="420" spans="1:2">
      <c r="A420" s="1">
        <v>45398</v>
      </c>
      <c r="B420" s="6">
        <v>14.3831195379816</v>
      </c>
    </row>
    <row r="421" spans="1:2">
      <c r="A421" s="1">
        <v>45399</v>
      </c>
      <c r="B421" s="6">
        <v>-2.7481708611631</v>
      </c>
    </row>
    <row r="422" spans="1:2">
      <c r="A422" s="1">
        <v>45400</v>
      </c>
      <c r="B422" s="6">
        <v>-8.23005693209569</v>
      </c>
    </row>
    <row r="423" spans="1:2">
      <c r="A423" s="1">
        <v>45401</v>
      </c>
      <c r="B423" s="6">
        <v>16.4615830869015</v>
      </c>
    </row>
    <row r="424" spans="1:2">
      <c r="A424" s="1">
        <v>45404</v>
      </c>
      <c r="B424" s="6">
        <v>14.8405532101236</v>
      </c>
    </row>
    <row r="425" spans="1:2">
      <c r="A425" s="1">
        <v>45405</v>
      </c>
      <c r="B425" s="6">
        <v>16.2438415118791</v>
      </c>
    </row>
    <row r="426" spans="1:2">
      <c r="A426" s="1">
        <v>45406</v>
      </c>
      <c r="B426" s="6">
        <v>12.0586994778274</v>
      </c>
    </row>
    <row r="427" spans="1:2">
      <c r="A427" s="1">
        <v>45407</v>
      </c>
      <c r="B427" s="6">
        <v>12.3539437647232</v>
      </c>
    </row>
    <row r="428" spans="1:2">
      <c r="A428" s="1">
        <v>45408</v>
      </c>
      <c r="B428" s="6">
        <v>8.07650034619569</v>
      </c>
    </row>
    <row r="429" spans="1:2">
      <c r="A429" s="1">
        <v>45411</v>
      </c>
      <c r="B429" s="6">
        <v>4.3874759299333</v>
      </c>
    </row>
    <row r="430" spans="1:2">
      <c r="A430" s="1">
        <v>45412</v>
      </c>
      <c r="B430" s="6">
        <v>6.31857552999416</v>
      </c>
    </row>
    <row r="431" spans="1:2">
      <c r="A431" s="1">
        <v>45418</v>
      </c>
      <c r="B431" s="6">
        <v>7.63793753016894</v>
      </c>
    </row>
    <row r="432" spans="1:2">
      <c r="A432" s="1">
        <v>45419</v>
      </c>
      <c r="B432" s="6">
        <v>9.17599093427104</v>
      </c>
    </row>
    <row r="433" spans="1:2">
      <c r="A433" s="1">
        <v>45420</v>
      </c>
      <c r="B433" s="6">
        <v>10.6476246215927</v>
      </c>
    </row>
    <row r="434" spans="1:2">
      <c r="A434" s="1">
        <v>45421</v>
      </c>
      <c r="B434" s="6">
        <v>9.17624846048444</v>
      </c>
    </row>
    <row r="435" spans="1:2">
      <c r="A435" s="1">
        <v>45422</v>
      </c>
      <c r="B435" s="6">
        <v>10.5593021603693</v>
      </c>
    </row>
    <row r="436" spans="1:2">
      <c r="A436" s="1">
        <v>45425</v>
      </c>
      <c r="B436" s="6">
        <v>12.0240799368556</v>
      </c>
    </row>
    <row r="437" spans="1:2">
      <c r="A437" s="1">
        <v>45426</v>
      </c>
      <c r="B437" s="6">
        <v>13.13553028861</v>
      </c>
    </row>
    <row r="438" spans="1:2">
      <c r="A438" s="1">
        <v>45427</v>
      </c>
      <c r="B438" s="6">
        <v>12.3353092647711</v>
      </c>
    </row>
    <row r="439" spans="1:2">
      <c r="A439" s="1">
        <v>45428</v>
      </c>
      <c r="B439" s="6">
        <v>12.9536568727262</v>
      </c>
    </row>
    <row r="440" spans="1:2">
      <c r="A440" s="1">
        <v>45429</v>
      </c>
      <c r="B440" s="6">
        <v>5.93737703863096</v>
      </c>
    </row>
    <row r="441" spans="1:2">
      <c r="A441" s="1">
        <v>45432</v>
      </c>
      <c r="B441" s="6">
        <v>10.7162118227613</v>
      </c>
    </row>
    <row r="442" spans="1:2">
      <c r="A442" s="1">
        <v>45433</v>
      </c>
      <c r="B442" s="6">
        <v>11.7681573088778</v>
      </c>
    </row>
    <row r="443" spans="1:2">
      <c r="A443" s="1">
        <v>45434</v>
      </c>
      <c r="B443" s="6">
        <v>12.320189828792</v>
      </c>
    </row>
    <row r="444" spans="1:2">
      <c r="A444" s="1">
        <v>45435</v>
      </c>
      <c r="B444" s="6">
        <v>11.8377831765208</v>
      </c>
    </row>
    <row r="445" spans="1:2">
      <c r="A445" s="1">
        <v>45436</v>
      </c>
      <c r="B445" s="6">
        <v>13.7631118164676</v>
      </c>
    </row>
    <row r="446" spans="1:2">
      <c r="A446" s="1">
        <v>45439</v>
      </c>
      <c r="B446" s="6">
        <v>16.7536617983386</v>
      </c>
    </row>
    <row r="447" spans="1:2">
      <c r="A447" s="1">
        <v>45440</v>
      </c>
      <c r="B447" s="6">
        <v>17.926982520043</v>
      </c>
    </row>
    <row r="448" spans="1:2">
      <c r="A448" s="1">
        <v>45441</v>
      </c>
      <c r="B448" s="6">
        <v>18.4817647987029</v>
      </c>
    </row>
    <row r="449" spans="1:2">
      <c r="A449" s="1">
        <v>45442</v>
      </c>
      <c r="B449" s="6">
        <v>12.5648614199461</v>
      </c>
    </row>
    <row r="450" spans="1:2">
      <c r="A450" s="1">
        <v>45443</v>
      </c>
      <c r="B450" s="6">
        <v>12.825485452338</v>
      </c>
    </row>
    <row r="451" spans="1:2">
      <c r="A451" s="1">
        <v>45446</v>
      </c>
      <c r="B451" s="6">
        <v>21.0258250802521</v>
      </c>
    </row>
    <row r="452" spans="1:2">
      <c r="A452" s="1">
        <v>45447</v>
      </c>
      <c r="B452" s="6">
        <v>16.3249756753951</v>
      </c>
    </row>
    <row r="453" spans="1:2">
      <c r="A453" s="1">
        <v>45448</v>
      </c>
      <c r="B453" s="6">
        <v>13.6999985628252</v>
      </c>
    </row>
    <row r="454" spans="1:2">
      <c r="A454" s="1">
        <v>45449</v>
      </c>
      <c r="B454" s="6">
        <v>12.8762958177655</v>
      </c>
    </row>
    <row r="455" spans="1:2">
      <c r="A455" s="1">
        <v>45450</v>
      </c>
      <c r="B455" s="6">
        <v>18.7183714208203</v>
      </c>
    </row>
    <row r="456" spans="1:2">
      <c r="A456" s="1">
        <v>45454</v>
      </c>
      <c r="B456" s="6">
        <v>13.3163263921306</v>
      </c>
    </row>
    <row r="457" spans="1:2">
      <c r="A457" s="1">
        <v>45455</v>
      </c>
      <c r="B457" s="6">
        <v>21.4837298444089</v>
      </c>
    </row>
    <row r="458" spans="1:2">
      <c r="A458" s="1">
        <v>45456</v>
      </c>
      <c r="B458" s="6">
        <v>21.948601406579</v>
      </c>
    </row>
    <row r="459" spans="1:2">
      <c r="A459" s="1">
        <v>45457</v>
      </c>
      <c r="B459" s="6">
        <v>1.4889537151441</v>
      </c>
    </row>
    <row r="460" spans="1:2">
      <c r="A460" s="1">
        <v>45460</v>
      </c>
      <c r="B460" s="6">
        <v>9.80696677938487</v>
      </c>
    </row>
    <row r="461" spans="1:2">
      <c r="A461" s="1">
        <v>45461</v>
      </c>
      <c r="B461" s="6">
        <v>-3.28303337534227</v>
      </c>
    </row>
    <row r="462" spans="1:2">
      <c r="A462" s="1">
        <v>45462</v>
      </c>
      <c r="B462" s="6">
        <v>8.06606156912213</v>
      </c>
    </row>
    <row r="463" spans="1:2">
      <c r="A463" s="1">
        <v>45463</v>
      </c>
      <c r="B463" s="6">
        <v>-19.4360288760307</v>
      </c>
    </row>
    <row r="464" spans="1:2">
      <c r="A464" s="1">
        <v>45464</v>
      </c>
      <c r="B464" s="6">
        <v>14.3019407146405</v>
      </c>
    </row>
    <row r="465" spans="1:2">
      <c r="A465" s="1">
        <v>45467</v>
      </c>
      <c r="B465" s="6">
        <v>13.7529289900092</v>
      </c>
    </row>
    <row r="466" spans="1:2">
      <c r="A466" s="1">
        <v>45468</v>
      </c>
      <c r="B466" s="6">
        <v>10.6429536103503</v>
      </c>
    </row>
    <row r="467" spans="1:2">
      <c r="A467" s="1">
        <v>45469</v>
      </c>
      <c r="B467" s="6">
        <v>8.90867695392117</v>
      </c>
    </row>
    <row r="468" spans="1:2">
      <c r="A468" s="1">
        <v>45470</v>
      </c>
      <c r="B468" s="6">
        <v>8.79359421573639</v>
      </c>
    </row>
    <row r="469" spans="1:2">
      <c r="A469" s="1">
        <v>45471</v>
      </c>
      <c r="B469" s="6">
        <v>14.2294153707806</v>
      </c>
    </row>
    <row r="470" spans="1:2">
      <c r="A470" s="1">
        <v>45474</v>
      </c>
      <c r="B470" s="6">
        <v>15.8720468320973</v>
      </c>
    </row>
    <row r="471" spans="1:2">
      <c r="A471" s="1">
        <v>45475</v>
      </c>
      <c r="B471" s="6">
        <v>15.2337838437296</v>
      </c>
    </row>
    <row r="472" spans="1:2">
      <c r="A472" s="1">
        <v>45476</v>
      </c>
      <c r="B472" s="6">
        <v>13.8023929989245</v>
      </c>
    </row>
    <row r="473" spans="1:2">
      <c r="A473" s="1">
        <v>45477</v>
      </c>
      <c r="B473" s="6">
        <v>14.3798610125272</v>
      </c>
    </row>
    <row r="474" spans="1:2">
      <c r="A474" s="1">
        <v>45478</v>
      </c>
      <c r="B474" s="6">
        <v>15.3980916651917</v>
      </c>
    </row>
    <row r="475" spans="1:2">
      <c r="A475" s="1">
        <v>45481</v>
      </c>
      <c r="B475" s="6">
        <v>16.4918151921377</v>
      </c>
    </row>
    <row r="476" spans="1:2">
      <c r="A476" s="1">
        <v>45482</v>
      </c>
      <c r="B476" s="6">
        <v>17.64007445796</v>
      </c>
    </row>
    <row r="477" spans="1:2">
      <c r="A477" s="1">
        <v>45483</v>
      </c>
      <c r="B477" s="6">
        <v>12.8734638182364</v>
      </c>
    </row>
    <row r="478" spans="1:2">
      <c r="A478" s="1">
        <v>45484</v>
      </c>
      <c r="B478" s="6">
        <v>8.89953529160917</v>
      </c>
    </row>
    <row r="479" spans="1:2">
      <c r="A479" s="1">
        <v>45485</v>
      </c>
      <c r="B479" s="6">
        <v>11.8042271048736</v>
      </c>
    </row>
    <row r="480" spans="1:2">
      <c r="A480" s="1">
        <v>45488</v>
      </c>
      <c r="B480" s="6">
        <v>19.4737457971625</v>
      </c>
    </row>
    <row r="481" spans="1:2">
      <c r="A481" s="1">
        <v>45489</v>
      </c>
      <c r="B481" s="6">
        <v>25.9969652150921</v>
      </c>
    </row>
    <row r="482" spans="1:2">
      <c r="A482" s="1">
        <v>45490</v>
      </c>
      <c r="B482" s="6">
        <v>10.4671823423888</v>
      </c>
    </row>
    <row r="483" spans="1:2">
      <c r="A483" s="1">
        <v>45491</v>
      </c>
      <c r="B483" s="6">
        <v>8.38012833568034</v>
      </c>
    </row>
    <row r="484" spans="1:2">
      <c r="A484" s="1">
        <v>45492</v>
      </c>
      <c r="B484" s="6">
        <v>15.9068588771921</v>
      </c>
    </row>
    <row r="485" spans="1:2">
      <c r="A485" s="1">
        <v>45495</v>
      </c>
      <c r="B485" s="6">
        <v>15.7118597713596</v>
      </c>
    </row>
    <row r="486" spans="1:2">
      <c r="A486" s="1">
        <v>45496</v>
      </c>
      <c r="B486" s="6">
        <v>19.6046207406561</v>
      </c>
    </row>
    <row r="487" spans="1:2">
      <c r="A487" s="1">
        <v>45497</v>
      </c>
      <c r="B487" s="6">
        <v>18.2378878580341</v>
      </c>
    </row>
    <row r="488" spans="1:2">
      <c r="A488" s="1">
        <v>45498</v>
      </c>
      <c r="B488" s="6">
        <v>16.9410277841162</v>
      </c>
    </row>
    <row r="489" spans="1:2">
      <c r="A489" s="1">
        <v>45499</v>
      </c>
      <c r="B489" s="6">
        <v>12.4545945624063</v>
      </c>
    </row>
    <row r="490" spans="1:2">
      <c r="A490" s="1">
        <v>45502</v>
      </c>
      <c r="B490" s="6">
        <v>16.7339796946234</v>
      </c>
    </row>
    <row r="491" spans="1:2">
      <c r="A491" s="1">
        <v>45503</v>
      </c>
      <c r="B491" s="6">
        <v>17.6545473624592</v>
      </c>
    </row>
    <row r="492" spans="1:2">
      <c r="A492" s="1">
        <v>45504</v>
      </c>
      <c r="B492" s="6">
        <v>-2.32830463010529</v>
      </c>
    </row>
    <row r="493" spans="1:2">
      <c r="A493" s="1">
        <v>45505</v>
      </c>
      <c r="B493" s="6">
        <v>8.06677983476042</v>
      </c>
    </row>
    <row r="494" spans="1:2">
      <c r="A494" s="1">
        <v>45506</v>
      </c>
      <c r="B494" s="6">
        <v>8.07479399813271</v>
      </c>
    </row>
    <row r="495" spans="1:2">
      <c r="A495" s="1">
        <v>45509</v>
      </c>
      <c r="B495" s="6">
        <v>4.36829056526816</v>
      </c>
    </row>
    <row r="496" spans="1:2">
      <c r="A496" s="1">
        <v>45510</v>
      </c>
      <c r="B496" s="6">
        <v>11.7817698787978</v>
      </c>
    </row>
    <row r="497" spans="1:2">
      <c r="A497" s="1">
        <v>45511</v>
      </c>
      <c r="B497" s="6">
        <v>16.081521521437</v>
      </c>
    </row>
    <row r="498" spans="1:2">
      <c r="A498" s="1">
        <v>45512</v>
      </c>
      <c r="B498" s="6">
        <v>3.38591047275039</v>
      </c>
    </row>
    <row r="499" spans="1:2">
      <c r="A499" s="1">
        <v>45513</v>
      </c>
      <c r="B499" s="6">
        <v>13.9504507434551</v>
      </c>
    </row>
    <row r="500" spans="1:2">
      <c r="A500" s="1">
        <v>45516</v>
      </c>
      <c r="B500" s="6">
        <v>-4.59799580312884</v>
      </c>
    </row>
    <row r="501" spans="1:2">
      <c r="A501" s="1">
        <v>45517</v>
      </c>
      <c r="B501" s="6">
        <v>10.3587783324783</v>
      </c>
    </row>
    <row r="502" spans="1:2">
      <c r="A502" s="1">
        <v>45518</v>
      </c>
      <c r="B502" s="6">
        <v>13.7627092123941</v>
      </c>
    </row>
    <row r="503" spans="1:2">
      <c r="A503" s="1">
        <v>45519</v>
      </c>
      <c r="B503" s="6">
        <v>11.6052935448517</v>
      </c>
    </row>
    <row r="504" spans="1:2">
      <c r="A504" s="1">
        <v>45520</v>
      </c>
      <c r="B504" s="6">
        <v>11.0642647554752</v>
      </c>
    </row>
    <row r="505" spans="1:2">
      <c r="A505" s="1">
        <v>45523</v>
      </c>
      <c r="B505" s="6">
        <v>9.51215009088549</v>
      </c>
    </row>
    <row r="506" spans="1:2">
      <c r="A506" s="1">
        <v>45524</v>
      </c>
      <c r="B506" s="6">
        <v>10.4978485506327</v>
      </c>
    </row>
    <row r="507" spans="1:2">
      <c r="A507" s="1">
        <v>45525</v>
      </c>
      <c r="B507" s="6">
        <v>6.87452181916752</v>
      </c>
    </row>
    <row r="508" spans="1:2">
      <c r="A508" s="1">
        <v>45526</v>
      </c>
      <c r="B508" s="6">
        <v>5.18696216908225</v>
      </c>
    </row>
    <row r="509" spans="1:2">
      <c r="A509" s="1">
        <v>45527</v>
      </c>
      <c r="B509" s="6">
        <v>5.9546700028187</v>
      </c>
    </row>
    <row r="510" spans="1:2">
      <c r="A510" s="1">
        <v>45530</v>
      </c>
      <c r="B510" s="6">
        <v>7.29176261091161</v>
      </c>
    </row>
    <row r="511" spans="1:2">
      <c r="A511" s="1">
        <v>45531</v>
      </c>
      <c r="B511" s="6">
        <v>5.76409716288044</v>
      </c>
    </row>
    <row r="512" spans="1:2">
      <c r="A512" s="1">
        <v>45532</v>
      </c>
      <c r="B512" s="6">
        <v>7.11255450419869</v>
      </c>
    </row>
    <row r="513" spans="1:2">
      <c r="A513" s="1">
        <v>45533</v>
      </c>
      <c r="B513" s="6">
        <v>5.52699335091388</v>
      </c>
    </row>
    <row r="514" spans="1:2">
      <c r="A514" s="1">
        <v>45534</v>
      </c>
      <c r="B514" s="6">
        <v>3.20916497554323</v>
      </c>
    </row>
    <row r="515" spans="1:2">
      <c r="A515" s="1">
        <v>45537</v>
      </c>
      <c r="B515" s="6">
        <v>7.17656493219919</v>
      </c>
    </row>
    <row r="516" spans="1:2">
      <c r="A516" s="1">
        <v>45538</v>
      </c>
      <c r="B516" s="6">
        <v>11.3894491955388</v>
      </c>
    </row>
    <row r="517" spans="1:2">
      <c r="A517" s="1">
        <v>45539</v>
      </c>
      <c r="B517" s="6">
        <v>7.27634152645751</v>
      </c>
    </row>
    <row r="518" spans="1:2">
      <c r="A518" s="1">
        <v>45540</v>
      </c>
      <c r="B518" s="6">
        <v>5.22223503440192</v>
      </c>
    </row>
    <row r="519" spans="1:2">
      <c r="A519" s="1">
        <v>45541</v>
      </c>
      <c r="B519" s="6">
        <v>6.79504462321069</v>
      </c>
    </row>
    <row r="520" spans="1:2">
      <c r="A520" s="1">
        <v>45544</v>
      </c>
      <c r="B520" s="6">
        <v>12.6601583521424</v>
      </c>
    </row>
    <row r="521" spans="1:2">
      <c r="A521" s="1">
        <v>45545</v>
      </c>
      <c r="B521" s="6">
        <v>11.1223755455476</v>
      </c>
    </row>
    <row r="522" spans="1:2">
      <c r="A522" s="1">
        <v>45546</v>
      </c>
      <c r="B522" s="6">
        <v>10.4088493018857</v>
      </c>
    </row>
    <row r="523" spans="1:2">
      <c r="A523" s="1">
        <v>45547</v>
      </c>
      <c r="B523" s="6">
        <v>0.384783742027327</v>
      </c>
    </row>
    <row r="524" spans="1:2">
      <c r="A524" s="1">
        <v>45548</v>
      </c>
      <c r="B524" s="6">
        <v>-5.11648361528812</v>
      </c>
    </row>
    <row r="525" spans="1:2">
      <c r="A525" s="1">
        <v>45553</v>
      </c>
      <c r="B525" s="6">
        <v>-11.1135530063055</v>
      </c>
    </row>
    <row r="526" spans="1:2">
      <c r="A526" s="1">
        <v>45554</v>
      </c>
      <c r="B526" s="6">
        <v>-14.2935240960022</v>
      </c>
    </row>
    <row r="527" spans="1:2">
      <c r="A527" s="1">
        <v>45555</v>
      </c>
      <c r="B527" s="6">
        <v>14.2676059949596</v>
      </c>
    </row>
    <row r="528" spans="1:2">
      <c r="A528" s="1">
        <v>45558</v>
      </c>
      <c r="B528" s="6">
        <v>11.9831605205299</v>
      </c>
    </row>
    <row r="529" spans="1:2">
      <c r="A529" s="1">
        <v>45559</v>
      </c>
      <c r="B529" s="6">
        <v>-4.09345631673168</v>
      </c>
    </row>
    <row r="530" spans="1:2">
      <c r="A530" s="1">
        <v>45560</v>
      </c>
      <c r="B530" s="6">
        <v>4.04554335681995</v>
      </c>
    </row>
    <row r="531" spans="1:2">
      <c r="A531" s="1">
        <v>45561</v>
      </c>
      <c r="B531" s="6">
        <v>-27.0423784780063</v>
      </c>
    </row>
    <row r="532" spans="1:2">
      <c r="A532" s="1">
        <v>45562</v>
      </c>
      <c r="B532" s="6">
        <v>-99.8919506497748</v>
      </c>
    </row>
    <row r="533" spans="1:2">
      <c r="A533" s="1">
        <v>45565</v>
      </c>
      <c r="B533" s="6">
        <v>-45.794968905865</v>
      </c>
    </row>
    <row r="534" spans="1:2">
      <c r="A534" s="1">
        <v>45573</v>
      </c>
      <c r="B534" s="6">
        <v>-7.9788965643166</v>
      </c>
    </row>
    <row r="535" spans="1:2">
      <c r="A535" s="1">
        <v>45574</v>
      </c>
      <c r="B535" s="6">
        <v>-12.2329057963677</v>
      </c>
    </row>
    <row r="536" spans="1:2">
      <c r="A536" s="1">
        <v>45575</v>
      </c>
      <c r="B536" s="6">
        <v>-5.98142446028704</v>
      </c>
    </row>
    <row r="537" spans="1:2">
      <c r="A537" s="1">
        <v>45576</v>
      </c>
      <c r="B537" s="6">
        <v>-4.80176554328375</v>
      </c>
    </row>
    <row r="538" spans="1:2">
      <c r="A538" s="1">
        <v>45579</v>
      </c>
      <c r="B538" s="6">
        <v>2.45407728964308</v>
      </c>
    </row>
    <row r="539" spans="1:2">
      <c r="A539" s="1">
        <v>45580</v>
      </c>
      <c r="B539" s="6">
        <v>29.2525163260636</v>
      </c>
    </row>
    <row r="540" spans="1:2">
      <c r="A540" s="1">
        <v>45581</v>
      </c>
      <c r="B540" s="6">
        <v>-4.44313337766814</v>
      </c>
    </row>
    <row r="541" spans="1:2">
      <c r="A541" s="1">
        <v>45582</v>
      </c>
      <c r="B541" s="6">
        <v>35.4522162456358</v>
      </c>
    </row>
    <row r="542" spans="1:2">
      <c r="A542" s="1">
        <v>45583</v>
      </c>
      <c r="B542" s="6">
        <v>2.02610677654425</v>
      </c>
    </row>
    <row r="543" spans="1:2">
      <c r="A543" s="1">
        <v>45586</v>
      </c>
      <c r="B543" s="6">
        <v>3.59948803548436</v>
      </c>
    </row>
    <row r="544" spans="1:2">
      <c r="A544" s="1">
        <v>45587</v>
      </c>
      <c r="B544" s="6">
        <v>3.6871518773955</v>
      </c>
    </row>
    <row r="545" spans="1:2">
      <c r="A545" s="1">
        <v>45588</v>
      </c>
      <c r="B545" s="6">
        <v>3.68108436326525</v>
      </c>
    </row>
    <row r="546" spans="1:2">
      <c r="A546" s="1">
        <v>45589</v>
      </c>
      <c r="B546" s="6">
        <v>3.0090657371859</v>
      </c>
    </row>
    <row r="547" spans="1:2">
      <c r="A547" s="1">
        <v>45590</v>
      </c>
      <c r="B547" s="6">
        <v>-0.458359904716416</v>
      </c>
    </row>
    <row r="548" spans="1:2">
      <c r="A548" s="1">
        <v>45593</v>
      </c>
      <c r="B548" s="6">
        <v>3.91392128396965</v>
      </c>
    </row>
    <row r="549" spans="1:2">
      <c r="A549" s="1">
        <v>45594</v>
      </c>
      <c r="B549" s="6">
        <v>3.51763867724967</v>
      </c>
    </row>
    <row r="550" spans="1:2">
      <c r="A550" s="1">
        <v>45595</v>
      </c>
      <c r="B550" s="6">
        <v>4.84700225859779</v>
      </c>
    </row>
    <row r="551" spans="1:2">
      <c r="A551" s="1">
        <v>45596</v>
      </c>
      <c r="B551" s="6">
        <v>5.86161316083469</v>
      </c>
    </row>
    <row r="552" spans="1:2">
      <c r="A552" s="1">
        <v>45597</v>
      </c>
      <c r="B552" s="6">
        <v>4.7112524291747</v>
      </c>
    </row>
    <row r="553" spans="1:2">
      <c r="A553" s="1">
        <v>45600</v>
      </c>
      <c r="B553" s="6">
        <v>2.04282183917253</v>
      </c>
    </row>
    <row r="554" spans="1:2">
      <c r="A554" s="1">
        <v>45601</v>
      </c>
      <c r="B554" s="6">
        <v>0.603379465128128</v>
      </c>
    </row>
    <row r="555" spans="1:2">
      <c r="A555" s="1">
        <v>45602</v>
      </c>
      <c r="B555" s="6">
        <v>3.00869801374419</v>
      </c>
    </row>
    <row r="556" spans="1:2">
      <c r="A556" s="1">
        <v>45603</v>
      </c>
      <c r="B556" s="6">
        <v>1.81986992727493</v>
      </c>
    </row>
    <row r="557" spans="1:2">
      <c r="A557" s="1">
        <v>45604</v>
      </c>
      <c r="B557" s="6">
        <v>5.18812396360213</v>
      </c>
    </row>
    <row r="558" spans="1:2">
      <c r="A558" s="1">
        <v>45607</v>
      </c>
      <c r="B558" s="6">
        <v>11.2232516686084</v>
      </c>
    </row>
    <row r="559" spans="1:2">
      <c r="A559" s="1">
        <v>45608</v>
      </c>
      <c r="B559" s="6">
        <v>11.1772392476485</v>
      </c>
    </row>
    <row r="560" spans="1:2">
      <c r="A560" s="1">
        <v>45609</v>
      </c>
      <c r="B560" s="6">
        <v>10.6179406259588</v>
      </c>
    </row>
    <row r="561" spans="1:2">
      <c r="A561" s="1">
        <v>45610</v>
      </c>
      <c r="B561" s="6">
        <v>4.81122847874391</v>
      </c>
    </row>
    <row r="562" spans="1:2">
      <c r="A562" s="1">
        <v>45611</v>
      </c>
      <c r="B562" s="6">
        <v>3.53386437720017</v>
      </c>
    </row>
    <row r="563" spans="1:2">
      <c r="A563" s="1">
        <v>45614</v>
      </c>
      <c r="B563" s="6">
        <v>3.407381995949</v>
      </c>
    </row>
    <row r="564" spans="1:2">
      <c r="A564" s="1">
        <v>45615</v>
      </c>
      <c r="B564" s="6">
        <v>6.33548596850406</v>
      </c>
    </row>
    <row r="565" spans="1:2">
      <c r="A565" s="1">
        <v>45616</v>
      </c>
      <c r="B565" s="6">
        <v>10.4339465700095</v>
      </c>
    </row>
    <row r="566" spans="1:2">
      <c r="A566" s="1">
        <v>45617</v>
      </c>
      <c r="B566" s="6">
        <v>13.6034145289795</v>
      </c>
    </row>
    <row r="567" spans="1:2">
      <c r="A567" s="1">
        <v>45618</v>
      </c>
      <c r="B567" s="6">
        <v>15.6522508883633</v>
      </c>
    </row>
    <row r="568" spans="1:2">
      <c r="A568" s="1">
        <v>45621</v>
      </c>
      <c r="B568" s="6">
        <v>12.2536843937242</v>
      </c>
    </row>
    <row r="569" spans="1:2">
      <c r="A569" s="1">
        <v>45622</v>
      </c>
      <c r="B569" s="6">
        <v>14.8636168504685</v>
      </c>
    </row>
    <row r="570" spans="1:2">
      <c r="A570" s="1">
        <v>45623</v>
      </c>
      <c r="B570" s="6">
        <v>7.2327885455248</v>
      </c>
    </row>
    <row r="571" spans="1:2">
      <c r="A571" s="1">
        <v>45624</v>
      </c>
      <c r="B571" s="6">
        <v>11.9088433553507</v>
      </c>
    </row>
    <row r="572" spans="1:2">
      <c r="A572" s="1">
        <v>45625</v>
      </c>
      <c r="B572" s="6">
        <v>8.36335560443118</v>
      </c>
    </row>
    <row r="573" spans="1:2">
      <c r="A573" s="1">
        <v>45628</v>
      </c>
      <c r="B573" s="6">
        <v>12.3563003975259</v>
      </c>
    </row>
    <row r="574" spans="1:2">
      <c r="A574" s="1">
        <v>45629</v>
      </c>
      <c r="B574" s="6">
        <v>10.7301916160575</v>
      </c>
    </row>
    <row r="575" spans="1:2">
      <c r="A575" s="1">
        <v>45630</v>
      </c>
      <c r="B575" s="6">
        <v>10.2724523834604</v>
      </c>
    </row>
    <row r="576" spans="1:2">
      <c r="A576" s="1">
        <v>45631</v>
      </c>
      <c r="B576" s="6">
        <v>9.943593511012</v>
      </c>
    </row>
    <row r="577" spans="1:2">
      <c r="A577" s="1">
        <v>45632</v>
      </c>
      <c r="B577" s="6">
        <v>5.73445097520713</v>
      </c>
    </row>
    <row r="578" spans="1:2">
      <c r="A578" s="1">
        <v>45635</v>
      </c>
      <c r="B578" s="6">
        <v>15.5760767490904</v>
      </c>
    </row>
    <row r="579" spans="1:2">
      <c r="A579" s="1">
        <v>45636</v>
      </c>
      <c r="B579" s="6">
        <v>1.66801486698263</v>
      </c>
    </row>
    <row r="580" spans="1:2">
      <c r="A580" s="1">
        <v>45637</v>
      </c>
      <c r="B580" s="6">
        <v>8.32431881108062</v>
      </c>
    </row>
    <row r="581" spans="1:2">
      <c r="A581" s="1">
        <v>45638</v>
      </c>
      <c r="B581" s="6">
        <v>6.79354128941631</v>
      </c>
    </row>
    <row r="582" spans="1:2">
      <c r="A582" s="1">
        <v>45639</v>
      </c>
      <c r="B582" s="6">
        <v>-2.63028283886325</v>
      </c>
    </row>
    <row r="583" spans="1:2">
      <c r="A583" s="1">
        <v>45642</v>
      </c>
      <c r="B583" s="6">
        <v>11.2434596345609</v>
      </c>
    </row>
    <row r="584" spans="1:2">
      <c r="A584" s="1">
        <v>45643</v>
      </c>
      <c r="B584" s="6">
        <v>0.349531203378114</v>
      </c>
    </row>
    <row r="585" spans="1:2">
      <c r="A585" s="1">
        <v>45644</v>
      </c>
      <c r="B585" s="6">
        <v>8.16095002587989</v>
      </c>
    </row>
    <row r="586" spans="1:2">
      <c r="A586" s="1">
        <v>45645</v>
      </c>
      <c r="B586" s="6">
        <v>-21.7767754413423</v>
      </c>
    </row>
    <row r="587" spans="1:2">
      <c r="A587" s="1">
        <v>45646</v>
      </c>
      <c r="B587" s="6">
        <v>8.82036502048152</v>
      </c>
    </row>
    <row r="588" spans="1:2">
      <c r="A588" s="1">
        <v>45649</v>
      </c>
      <c r="B588" s="6">
        <v>7.73362257852302</v>
      </c>
    </row>
    <row r="589" spans="1:2">
      <c r="A589" s="1">
        <v>45650</v>
      </c>
      <c r="B589" s="6">
        <v>7.89487992548657</v>
      </c>
    </row>
    <row r="590" spans="1:2">
      <c r="A590" s="1">
        <v>45651</v>
      </c>
      <c r="B590" s="6">
        <v>6.80383338215571</v>
      </c>
    </row>
    <row r="591" spans="1:2">
      <c r="A591" s="1">
        <v>45652</v>
      </c>
      <c r="B591" s="6">
        <v>7.94302722466495</v>
      </c>
    </row>
    <row r="592" spans="1:2">
      <c r="A592" s="1">
        <v>45653</v>
      </c>
      <c r="B592" s="6">
        <v>7.81401047898273</v>
      </c>
    </row>
    <row r="593" spans="1:2">
      <c r="A593" s="1">
        <v>45656</v>
      </c>
      <c r="B593" s="6">
        <v>6.76379731763121</v>
      </c>
    </row>
    <row r="594" spans="1:2">
      <c r="A594" s="1">
        <v>45657</v>
      </c>
      <c r="B594" s="6">
        <v>8.80541834172528</v>
      </c>
    </row>
    <row r="595" spans="1:2">
      <c r="A595" s="1">
        <v>45659</v>
      </c>
      <c r="B595" s="6">
        <v>8.26048465115552</v>
      </c>
    </row>
    <row r="596" spans="1:2">
      <c r="A596" s="1">
        <v>45660</v>
      </c>
      <c r="B596" s="6">
        <v>6.38278506629711</v>
      </c>
    </row>
    <row r="597" spans="1:2">
      <c r="A597" s="1">
        <v>45663</v>
      </c>
      <c r="B597" s="6">
        <v>7.35409911471413</v>
      </c>
    </row>
    <row r="598" spans="1:2">
      <c r="A598" s="1">
        <v>45664</v>
      </c>
      <c r="B598" s="6">
        <v>8.51344081440502</v>
      </c>
    </row>
    <row r="599" spans="1:2">
      <c r="A599" s="1">
        <v>45665</v>
      </c>
      <c r="B599" s="6">
        <v>9.05467740616157</v>
      </c>
    </row>
    <row r="600" spans="1:2">
      <c r="A600" s="1">
        <v>45666</v>
      </c>
      <c r="B600" s="6">
        <v>10.6898365937788</v>
      </c>
    </row>
    <row r="601" spans="1:2">
      <c r="A601" s="1">
        <v>45667</v>
      </c>
      <c r="B601" s="6">
        <v>8.90864143810201</v>
      </c>
    </row>
    <row r="602" spans="1:2">
      <c r="A602" s="1">
        <v>45670</v>
      </c>
      <c r="B602" s="6">
        <v>8.04038226484777</v>
      </c>
    </row>
    <row r="603" spans="1:2">
      <c r="A603" s="1">
        <v>45671</v>
      </c>
      <c r="B603" s="6">
        <v>6.34861558479457</v>
      </c>
    </row>
    <row r="604" spans="1:2">
      <c r="A604" s="1">
        <v>45672</v>
      </c>
      <c r="B604" s="6">
        <v>7.54109124395948</v>
      </c>
    </row>
    <row r="605" spans="1:2">
      <c r="A605" s="1">
        <v>45673</v>
      </c>
      <c r="B605" s="6">
        <v>8.50366895007478</v>
      </c>
    </row>
    <row r="606" spans="1:2">
      <c r="A606" s="1">
        <v>45674</v>
      </c>
      <c r="B606" s="6">
        <v>6.80165824547424</v>
      </c>
    </row>
    <row r="607" spans="1:2">
      <c r="A607" s="1">
        <v>45677</v>
      </c>
      <c r="B607" s="6">
        <v>6.84181248691481</v>
      </c>
    </row>
    <row r="608" spans="1:2">
      <c r="A608" s="1">
        <v>45678</v>
      </c>
      <c r="B608" s="6">
        <v>6.95122946124236</v>
      </c>
    </row>
    <row r="609" spans="1:2">
      <c r="A609" s="1">
        <v>45679</v>
      </c>
      <c r="B609" s="6">
        <v>5.6700320879602</v>
      </c>
    </row>
    <row r="610" spans="1:2">
      <c r="A610" s="1">
        <v>45680</v>
      </c>
      <c r="B610" s="6">
        <v>6.29427119700922</v>
      </c>
    </row>
    <row r="611" spans="1:2">
      <c r="A611" s="1">
        <v>45681</v>
      </c>
      <c r="B611" s="6">
        <v>2.18083322704089</v>
      </c>
    </row>
    <row r="612" spans="1:2">
      <c r="A612" s="1">
        <v>45684</v>
      </c>
      <c r="B612" s="6">
        <v>6.97660908291721</v>
      </c>
    </row>
    <row r="613" spans="1:2">
      <c r="A613" s="1">
        <v>45693</v>
      </c>
      <c r="B613" s="6">
        <v>6.34206522696422</v>
      </c>
    </row>
    <row r="614" spans="1:2">
      <c r="A614" s="1">
        <v>45694</v>
      </c>
      <c r="B614" s="6">
        <v>6.88347779664969</v>
      </c>
    </row>
    <row r="615" spans="1:2">
      <c r="A615" s="1">
        <v>45695</v>
      </c>
      <c r="B615" s="6">
        <v>5.08195417418743</v>
      </c>
    </row>
    <row r="616" spans="1:2">
      <c r="A616" s="1">
        <v>45698</v>
      </c>
      <c r="B616" s="6">
        <v>8.98298476796022</v>
      </c>
    </row>
    <row r="617" spans="1:2">
      <c r="A617" s="1">
        <v>45699</v>
      </c>
      <c r="B617" s="6">
        <v>7.93441861697661</v>
      </c>
    </row>
    <row r="618" spans="1:2">
      <c r="A618" s="1">
        <v>45700</v>
      </c>
      <c r="B618" s="6">
        <v>8.75305666450091</v>
      </c>
    </row>
    <row r="619" spans="1:2">
      <c r="A619" s="1">
        <v>45701</v>
      </c>
      <c r="B619" s="6">
        <v>5.5886160390874</v>
      </c>
    </row>
    <row r="620" spans="1:2">
      <c r="A620" s="1">
        <v>45702</v>
      </c>
      <c r="B620" s="6">
        <v>6.71425207372673</v>
      </c>
    </row>
    <row r="621" spans="1:2">
      <c r="A621" s="1">
        <v>45705</v>
      </c>
      <c r="B621" s="6">
        <v>9.92838441650973</v>
      </c>
    </row>
    <row r="622" spans="1:2">
      <c r="A622" s="1">
        <v>45706</v>
      </c>
      <c r="B622" s="6">
        <v>5.41647712897367</v>
      </c>
    </row>
    <row r="623" spans="1:2">
      <c r="A623" s="1">
        <v>45707</v>
      </c>
      <c r="B623" s="6">
        <v>8.38811636926199</v>
      </c>
    </row>
    <row r="624" spans="1:2">
      <c r="A624" s="1">
        <v>45708</v>
      </c>
      <c r="B624" s="6">
        <v>14.354182818306</v>
      </c>
    </row>
    <row r="625" spans="1:2">
      <c r="A625" s="1">
        <v>45709</v>
      </c>
      <c r="B625" s="6">
        <v>9.27167096197963</v>
      </c>
    </row>
    <row r="626" spans="1:2">
      <c r="A626" s="1">
        <v>45712</v>
      </c>
      <c r="B626" s="6">
        <v>18.8395625418131</v>
      </c>
    </row>
    <row r="627" spans="1:2">
      <c r="A627" s="1">
        <v>45713</v>
      </c>
      <c r="B627" s="6">
        <v>16.3626288369224</v>
      </c>
    </row>
    <row r="628" spans="1:2">
      <c r="A628" s="1">
        <v>45714</v>
      </c>
      <c r="B628" s="6">
        <v>22.055159070742</v>
      </c>
    </row>
    <row r="629" spans="1:2">
      <c r="A629" s="1">
        <v>45715</v>
      </c>
      <c r="B629" s="6">
        <v>19.1258396646606</v>
      </c>
    </row>
    <row r="630" spans="1:2">
      <c r="A630" s="1">
        <v>45716</v>
      </c>
      <c r="B630" s="6">
        <v>9.97207148179876</v>
      </c>
    </row>
    <row r="631" spans="1:2">
      <c r="A631" s="1">
        <v>45719</v>
      </c>
      <c r="B631" s="6">
        <v>15.4800143373818</v>
      </c>
    </row>
    <row r="632" spans="1:2">
      <c r="A632" s="1">
        <v>45720</v>
      </c>
      <c r="B632" s="6">
        <v>22.0285727466732</v>
      </c>
    </row>
    <row r="633" spans="1:2">
      <c r="A633" s="1">
        <v>45721</v>
      </c>
      <c r="B633" s="6">
        <v>25.619136598458</v>
      </c>
    </row>
    <row r="634" spans="1:2">
      <c r="A634" s="1">
        <v>45722</v>
      </c>
      <c r="B634" s="6">
        <v>18.8636067571897</v>
      </c>
    </row>
    <row r="635" spans="1:2">
      <c r="A635" s="1">
        <v>45723</v>
      </c>
      <c r="B635" s="6">
        <v>19.1954269675583</v>
      </c>
    </row>
    <row r="636" spans="1:2">
      <c r="A636" s="1">
        <v>45726</v>
      </c>
      <c r="B636" s="6">
        <v>35.873675283863</v>
      </c>
    </row>
    <row r="637" spans="1:2">
      <c r="A637" s="1">
        <v>45727</v>
      </c>
      <c r="B637" s="6">
        <v>26.1737745295723</v>
      </c>
    </row>
    <row r="638" spans="1:2">
      <c r="A638" s="1">
        <v>45728</v>
      </c>
      <c r="B638" s="6">
        <v>25.3008222409612</v>
      </c>
    </row>
    <row r="639" spans="1:2">
      <c r="A639" s="1">
        <v>45729</v>
      </c>
      <c r="B639" s="6">
        <v>22.5606054143869</v>
      </c>
    </row>
    <row r="640" spans="1:2">
      <c r="A640" s="1">
        <v>45730</v>
      </c>
      <c r="B640" s="6">
        <v>5.30771733972221</v>
      </c>
    </row>
    <row r="641" spans="1:2">
      <c r="A641" s="1">
        <v>45733</v>
      </c>
      <c r="B641" s="6">
        <v>35.0292443409206</v>
      </c>
    </row>
    <row r="642" spans="1:2">
      <c r="A642" s="1">
        <v>45734</v>
      </c>
      <c r="B642" s="6">
        <v>33.0144900435446</v>
      </c>
    </row>
    <row r="643" spans="1:2">
      <c r="A643" s="1">
        <v>45735</v>
      </c>
      <c r="B643" s="6">
        <v>18.6308997263084</v>
      </c>
    </row>
    <row r="644" spans="1:2">
      <c r="A644" s="1">
        <v>45736</v>
      </c>
      <c r="B644" s="6">
        <v>1.64956343798641</v>
      </c>
    </row>
    <row r="645" spans="1:2">
      <c r="A645" s="1">
        <v>45737</v>
      </c>
      <c r="B645" s="6">
        <v>14.6011205427017</v>
      </c>
    </row>
    <row r="646" spans="1:2">
      <c r="A646" s="1">
        <v>45740</v>
      </c>
      <c r="B646" s="6">
        <v>14.2511484551594</v>
      </c>
    </row>
    <row r="647" spans="1:2">
      <c r="A647" s="1">
        <v>45741</v>
      </c>
      <c r="B647" s="6">
        <v>13.1040633482676</v>
      </c>
    </row>
    <row r="648" spans="1:2">
      <c r="A648" s="1">
        <v>45742</v>
      </c>
      <c r="B648" s="6">
        <v>13.9829827627029</v>
      </c>
    </row>
    <row r="649" spans="1:2">
      <c r="A649" s="1">
        <v>45743</v>
      </c>
      <c r="B649" s="6">
        <v>12.8462784163752</v>
      </c>
    </row>
    <row r="650" spans="1:2">
      <c r="A650" s="1">
        <v>45744</v>
      </c>
      <c r="B650" s="6">
        <v>13.5261633657959</v>
      </c>
    </row>
    <row r="651" spans="1:2">
      <c r="A651" s="1">
        <v>45747</v>
      </c>
      <c r="B651" s="6">
        <v>12.968365028947</v>
      </c>
    </row>
    <row r="652" spans="1:2">
      <c r="A652" s="1">
        <v>45748</v>
      </c>
      <c r="B652" s="6">
        <v>14.4435499084871</v>
      </c>
    </row>
    <row r="653" spans="1:2">
      <c r="A653" s="1">
        <v>45749</v>
      </c>
      <c r="B653" s="6">
        <v>13.3195273751039</v>
      </c>
    </row>
    <row r="654" spans="1:2">
      <c r="A654" s="1">
        <v>45750</v>
      </c>
      <c r="B654" s="6">
        <v>13.2883822159875</v>
      </c>
    </row>
    <row r="655" spans="1:2">
      <c r="A655" s="1">
        <v>45754</v>
      </c>
      <c r="B655" s="6">
        <v>5.69376283618316</v>
      </c>
    </row>
    <row r="656" spans="1:2">
      <c r="A656" s="1">
        <v>45755</v>
      </c>
      <c r="B656" s="6">
        <v>19.5676456006325</v>
      </c>
    </row>
    <row r="657" spans="1:2">
      <c r="A657" s="1">
        <v>45756</v>
      </c>
      <c r="B657" s="6">
        <v>20.1046121036601</v>
      </c>
    </row>
    <row r="658" spans="1:2">
      <c r="A658" s="1">
        <v>45757</v>
      </c>
      <c r="B658" s="6">
        <v>18.5825496859732</v>
      </c>
    </row>
    <row r="659" spans="1:2">
      <c r="A659" s="1">
        <v>45758</v>
      </c>
      <c r="B659" s="6">
        <v>17.2388263457405</v>
      </c>
    </row>
    <row r="660" spans="1:2">
      <c r="A660" s="1">
        <v>45761</v>
      </c>
      <c r="B660" s="6">
        <v>22.4699104929289</v>
      </c>
    </row>
    <row r="661" spans="1:2">
      <c r="A661" s="1">
        <v>45762</v>
      </c>
      <c r="B661" s="6">
        <v>21.9467431501205</v>
      </c>
    </row>
    <row r="662" spans="1:2">
      <c r="A662" s="1">
        <v>45763</v>
      </c>
      <c r="B662" s="6">
        <v>22.6234851958973</v>
      </c>
    </row>
    <row r="663" spans="1:2">
      <c r="A663" s="1">
        <v>45764</v>
      </c>
      <c r="B663" s="6">
        <v>18.4949200473447</v>
      </c>
    </row>
    <row r="664" spans="1:2">
      <c r="A664" s="1">
        <v>45765</v>
      </c>
      <c r="B664" s="6">
        <v>19.3612707581436</v>
      </c>
    </row>
    <row r="665" spans="1:2">
      <c r="A665" s="1">
        <v>45768</v>
      </c>
      <c r="B665" s="6">
        <v>18.7083910558172</v>
      </c>
    </row>
    <row r="666" spans="1:2">
      <c r="A666" s="1">
        <v>45769</v>
      </c>
      <c r="B666" s="6">
        <v>18.8795245292468</v>
      </c>
    </row>
    <row r="667" spans="1:2">
      <c r="A667" s="1">
        <v>45770</v>
      </c>
      <c r="B667" s="6">
        <v>17.628982687001</v>
      </c>
    </row>
    <row r="668" spans="1:2">
      <c r="A668" s="1">
        <v>45771</v>
      </c>
      <c r="B668" s="6">
        <v>17.0102741995716</v>
      </c>
    </row>
    <row r="669" spans="1:2">
      <c r="A669" s="1">
        <v>45772</v>
      </c>
      <c r="B669" s="6">
        <v>17.3940892671339</v>
      </c>
    </row>
    <row r="670" spans="1:2">
      <c r="A670" s="1">
        <v>45775</v>
      </c>
      <c r="B670" s="6">
        <v>17.4946559700196</v>
      </c>
    </row>
    <row r="671" spans="1:2">
      <c r="A671" s="1">
        <v>45776</v>
      </c>
      <c r="B671" s="6">
        <v>15.703010529433</v>
      </c>
    </row>
    <row r="672" spans="1:2">
      <c r="A672" s="1">
        <v>45777</v>
      </c>
      <c r="B672" s="6">
        <v>18.3779014097532</v>
      </c>
    </row>
    <row r="673" spans="1:2">
      <c r="A673" s="1">
        <v>45783</v>
      </c>
      <c r="B673" s="6">
        <v>18.5854958452334</v>
      </c>
    </row>
    <row r="674" spans="1:2">
      <c r="A674" s="1">
        <v>45784</v>
      </c>
      <c r="B674" s="6">
        <v>19.9795899762392</v>
      </c>
    </row>
    <row r="675" spans="1:2">
      <c r="A675" s="1">
        <v>45785</v>
      </c>
      <c r="B675" s="6">
        <v>18.2395375334139</v>
      </c>
    </row>
    <row r="676" spans="1:2">
      <c r="A676" s="1">
        <v>45786</v>
      </c>
      <c r="B676" s="6">
        <v>18.7547765649602</v>
      </c>
    </row>
    <row r="677" spans="1:2">
      <c r="A677" s="1">
        <v>45789</v>
      </c>
      <c r="B677" s="6">
        <v>18.2353875893036</v>
      </c>
    </row>
    <row r="678" spans="1:2">
      <c r="A678" s="1">
        <v>45790</v>
      </c>
      <c r="B678" s="6">
        <v>22.4135381571238</v>
      </c>
    </row>
    <row r="679" spans="1:2">
      <c r="A679" s="1">
        <v>45791</v>
      </c>
      <c r="B679" s="6">
        <v>17.641091921504</v>
      </c>
    </row>
    <row r="680" spans="1:2">
      <c r="A680" s="1">
        <v>45792</v>
      </c>
      <c r="B680" s="6">
        <v>17.1503827803477</v>
      </c>
    </row>
    <row r="681" spans="1:2">
      <c r="A681" s="1">
        <v>45793</v>
      </c>
      <c r="B681" s="6">
        <v>22.1347925670181</v>
      </c>
    </row>
    <row r="682" spans="1:2">
      <c r="A682" s="1">
        <v>45796</v>
      </c>
      <c r="B682" s="6">
        <v>20.4966965539401</v>
      </c>
    </row>
    <row r="683" spans="1:2">
      <c r="A683" s="1">
        <v>45797</v>
      </c>
      <c r="B683" s="6">
        <v>22.3928355693727</v>
      </c>
    </row>
    <row r="684" spans="1:2">
      <c r="A684" s="1">
        <v>45798</v>
      </c>
      <c r="B684" s="6">
        <v>24.3834538540766</v>
      </c>
    </row>
    <row r="685" spans="1:2">
      <c r="A685" s="1">
        <v>45799</v>
      </c>
      <c r="B685" s="6">
        <v>22.7852995427124</v>
      </c>
    </row>
    <row r="686" spans="1:2">
      <c r="A686" s="1">
        <v>45800</v>
      </c>
      <c r="B686" s="6">
        <v>24.5579259456338</v>
      </c>
    </row>
    <row r="687" spans="1:2">
      <c r="A687" s="1">
        <v>45803</v>
      </c>
      <c r="B687" s="6">
        <v>22.6514352358159</v>
      </c>
    </row>
    <row r="688" spans="1:2">
      <c r="A688" s="1">
        <v>45804</v>
      </c>
      <c r="B688" s="6">
        <v>21.603775148215</v>
      </c>
    </row>
    <row r="689" spans="1:2">
      <c r="A689" s="1">
        <v>45805</v>
      </c>
      <c r="B689" s="6">
        <v>20.9994280781165</v>
      </c>
    </row>
    <row r="690" spans="1:2">
      <c r="A690" s="1">
        <v>45806</v>
      </c>
      <c r="B690" s="6">
        <v>15.0302394527253</v>
      </c>
    </row>
    <row r="691" spans="1:2">
      <c r="A691" s="1">
        <v>45807</v>
      </c>
      <c r="B691" s="6">
        <v>16.7481661692381</v>
      </c>
    </row>
    <row r="692" spans="1:2">
      <c r="A692" s="1">
        <v>45811</v>
      </c>
      <c r="B692" s="6">
        <v>21.1921520569929</v>
      </c>
    </row>
    <row r="693" spans="1:2">
      <c r="A693" s="1">
        <v>45812</v>
      </c>
      <c r="B693" s="6">
        <v>21.7245370411081</v>
      </c>
    </row>
    <row r="694" spans="1:2">
      <c r="A694" s="1">
        <v>45813</v>
      </c>
      <c r="B694" s="6">
        <v>22.0983804768602</v>
      </c>
    </row>
    <row r="695" spans="1:2">
      <c r="A695" s="1">
        <v>45814</v>
      </c>
      <c r="B695" s="6">
        <v>19.4457728026837</v>
      </c>
    </row>
    <row r="696" spans="1:2">
      <c r="A696" s="1">
        <v>45817</v>
      </c>
      <c r="B696" s="6">
        <v>20.5676148262451</v>
      </c>
    </row>
    <row r="697" spans="1:2">
      <c r="A697" s="1">
        <v>45818</v>
      </c>
      <c r="B697" s="6">
        <v>21.5903452679214</v>
      </c>
    </row>
    <row r="698" spans="1:2">
      <c r="A698" s="1">
        <v>45819</v>
      </c>
      <c r="B698" s="6">
        <v>21.4742363233358</v>
      </c>
    </row>
    <row r="699" spans="1:2">
      <c r="A699" s="1">
        <v>45820</v>
      </c>
      <c r="B699" s="6">
        <v>20.4288607316924</v>
      </c>
    </row>
    <row r="700" spans="1:2">
      <c r="A700" s="1">
        <v>45821</v>
      </c>
      <c r="B700" s="6">
        <v>14.8817217733997</v>
      </c>
    </row>
    <row r="701" spans="1:2">
      <c r="A701" s="1">
        <v>45824</v>
      </c>
      <c r="B701" s="6">
        <v>16.3156815985792</v>
      </c>
    </row>
    <row r="702" spans="1:2">
      <c r="A702" s="1">
        <v>45825</v>
      </c>
      <c r="B702" s="6">
        <v>11.6710687626429</v>
      </c>
    </row>
    <row r="703" spans="1:2">
      <c r="A703" s="1">
        <v>45826</v>
      </c>
      <c r="B703" s="6">
        <v>15.1930136161937</v>
      </c>
    </row>
    <row r="704" spans="1:2">
      <c r="A704" s="1">
        <v>45827</v>
      </c>
      <c r="B704" s="6">
        <v>-4.49656769508321</v>
      </c>
    </row>
    <row r="705" spans="1:2">
      <c r="A705" s="1">
        <v>45828</v>
      </c>
      <c r="B705" s="6">
        <v>13.3715797965033</v>
      </c>
    </row>
    <row r="706" spans="1:2">
      <c r="A706" s="1">
        <v>45831</v>
      </c>
      <c r="B706" s="6">
        <v>14.365434817309</v>
      </c>
    </row>
    <row r="707" spans="1:2">
      <c r="A707" s="1">
        <v>45832</v>
      </c>
      <c r="B707" s="6">
        <v>12.5905950780882</v>
      </c>
    </row>
    <row r="708" spans="1:2">
      <c r="A708" s="1">
        <v>45833</v>
      </c>
      <c r="B708" s="6">
        <v>9.89909429912761</v>
      </c>
    </row>
    <row r="709" spans="1:2">
      <c r="A709" s="1">
        <v>45834</v>
      </c>
      <c r="B709" s="6">
        <v>9.68026010080745</v>
      </c>
    </row>
    <row r="710" spans="1:2">
      <c r="A710" s="1">
        <v>45835</v>
      </c>
      <c r="B710" s="6">
        <v>10.84749681617</v>
      </c>
    </row>
    <row r="711" spans="1:2">
      <c r="A711" s="1">
        <v>45838</v>
      </c>
      <c r="B711" s="6">
        <v>13.6075741472845</v>
      </c>
    </row>
    <row r="712" spans="1:2">
      <c r="A712" s="1">
        <v>45839</v>
      </c>
      <c r="B712" s="6">
        <v>15.9796852792123</v>
      </c>
    </row>
    <row r="713" spans="1:2">
      <c r="A713" s="1">
        <v>45840</v>
      </c>
      <c r="B713" s="6">
        <v>13.1495881460103</v>
      </c>
    </row>
    <row r="714" spans="1:2">
      <c r="A714" s="1">
        <v>45841</v>
      </c>
      <c r="B714" s="6">
        <v>14.3029479299672</v>
      </c>
    </row>
    <row r="715" spans="1:2">
      <c r="A715" s="1">
        <v>45842</v>
      </c>
      <c r="B715" s="6">
        <v>14.1447109598221</v>
      </c>
    </row>
    <row r="716" spans="1:2">
      <c r="A716" s="1">
        <v>45845</v>
      </c>
      <c r="B716" s="6">
        <v>15.4844508279765</v>
      </c>
    </row>
    <row r="717" spans="1:2">
      <c r="A717" s="1">
        <v>45846</v>
      </c>
      <c r="B717" s="6">
        <v>12.4197843266234</v>
      </c>
    </row>
    <row r="718" spans="1:2">
      <c r="A718" s="1">
        <v>45847</v>
      </c>
      <c r="B718" s="6">
        <v>13.0254115911003</v>
      </c>
    </row>
    <row r="719" spans="1:2">
      <c r="A719" s="1">
        <v>45848</v>
      </c>
      <c r="B719" s="6">
        <v>13.130133088028</v>
      </c>
    </row>
    <row r="720" spans="1:2">
      <c r="A720" s="1">
        <v>45849</v>
      </c>
      <c r="B720" s="6">
        <v>10.7202429988086</v>
      </c>
    </row>
    <row r="721" spans="1:2">
      <c r="A721" s="1">
        <v>45852</v>
      </c>
      <c r="B721" s="6">
        <v>12.3876153727251</v>
      </c>
    </row>
    <row r="722" spans="1:2">
      <c r="A722" s="1">
        <v>45853</v>
      </c>
      <c r="B722" s="6">
        <v>13.1006172191952</v>
      </c>
    </row>
    <row r="723" spans="1:2">
      <c r="A723" s="1">
        <v>45854</v>
      </c>
      <c r="B723" s="6">
        <v>13.2232507121436</v>
      </c>
    </row>
    <row r="724" spans="1:2">
      <c r="A724" s="1">
        <v>45855</v>
      </c>
      <c r="B724" s="6">
        <v>11.8231111293964</v>
      </c>
    </row>
    <row r="725" spans="1:2">
      <c r="A725" s="1">
        <v>45856</v>
      </c>
      <c r="B725" s="6">
        <v>11.4860824061007</v>
      </c>
    </row>
    <row r="726" spans="1:2">
      <c r="A726" s="1">
        <v>45859</v>
      </c>
      <c r="B726" s="6">
        <v>12.5237836649137</v>
      </c>
    </row>
    <row r="727" spans="1:2">
      <c r="A727" s="1">
        <v>45860</v>
      </c>
      <c r="B727" s="6">
        <v>10.4186586677594</v>
      </c>
    </row>
    <row r="728" spans="1:2">
      <c r="A728" s="1">
        <v>45861</v>
      </c>
      <c r="B728" s="6">
        <v>9.43471071075667</v>
      </c>
    </row>
    <row r="729" spans="1:2">
      <c r="A729" s="1">
        <v>45862</v>
      </c>
      <c r="B729" s="6">
        <v>7.32997582777914</v>
      </c>
    </row>
    <row r="730" spans="1:2">
      <c r="A730" s="1">
        <v>45863</v>
      </c>
      <c r="B730" s="6">
        <v>9.16549375571283</v>
      </c>
    </row>
    <row r="731" spans="1:2">
      <c r="A731" s="1">
        <v>45866</v>
      </c>
      <c r="B731" s="6">
        <v>11.8851596713749</v>
      </c>
    </row>
    <row r="732" spans="1:2">
      <c r="A732" s="1">
        <v>45867</v>
      </c>
      <c r="B732" s="6">
        <v>10.5878255299112</v>
      </c>
    </row>
    <row r="733" spans="1:2">
      <c r="A733" s="1">
        <v>45868</v>
      </c>
      <c r="B733" s="6">
        <v>11.1908406758253</v>
      </c>
    </row>
    <row r="734" spans="1:2">
      <c r="A734" s="1">
        <v>45869</v>
      </c>
      <c r="B734" s="6">
        <v>12.4953598983495</v>
      </c>
    </row>
    <row r="735" spans="1:2">
      <c r="A735" s="1">
        <v>45870</v>
      </c>
      <c r="B735" s="6">
        <v>13.291579832898</v>
      </c>
    </row>
    <row r="736" spans="1:2">
      <c r="A736" s="1">
        <v>45873</v>
      </c>
      <c r="B736" s="6">
        <v>10.2901668153833</v>
      </c>
    </row>
    <row r="737" spans="1:2">
      <c r="A737" s="1">
        <v>45874</v>
      </c>
      <c r="B737" s="6">
        <v>11.426811990576</v>
      </c>
    </row>
    <row r="738" spans="1:2">
      <c r="A738" s="1">
        <v>45875</v>
      </c>
      <c r="B738" s="6">
        <v>10.8987396023481</v>
      </c>
    </row>
    <row r="739" spans="1:2">
      <c r="A739" s="1">
        <v>45876</v>
      </c>
      <c r="B739" s="6">
        <v>12.768149480184</v>
      </c>
    </row>
    <row r="740" spans="1:2">
      <c r="A740" s="1">
        <v>45877</v>
      </c>
      <c r="B740" s="6">
        <v>12.1625759395925</v>
      </c>
    </row>
    <row r="741" spans="1:2">
      <c r="A741" s="1">
        <v>45880</v>
      </c>
      <c r="B741" s="6">
        <v>11.1292058743739</v>
      </c>
    </row>
    <row r="742" spans="1:2">
      <c r="A742" s="1">
        <v>45881</v>
      </c>
      <c r="B742" s="6">
        <v>9.90506218684524</v>
      </c>
    </row>
    <row r="743" spans="1:2">
      <c r="A743" s="1">
        <v>45882</v>
      </c>
      <c r="B743" s="6">
        <v>7.90362404666543</v>
      </c>
    </row>
    <row r="744" spans="1:2">
      <c r="A744" s="1">
        <v>45883</v>
      </c>
      <c r="B744" s="6">
        <v>6.27604109119705</v>
      </c>
    </row>
    <row r="745" spans="1:2">
      <c r="A745" s="1">
        <v>45884</v>
      </c>
      <c r="B745" s="6">
        <v>4.22859366702285</v>
      </c>
    </row>
    <row r="746" spans="1:2">
      <c r="A746" s="1">
        <v>45887</v>
      </c>
      <c r="B746" s="6">
        <v>7.35074980223432</v>
      </c>
    </row>
    <row r="747" spans="1:2">
      <c r="A747" s="1">
        <v>45888</v>
      </c>
      <c r="B747" s="6">
        <v>9.41293330403001</v>
      </c>
    </row>
    <row r="748" spans="1:2">
      <c r="A748" s="1">
        <v>45889</v>
      </c>
      <c r="B748" s="6">
        <v>4.38345381063246</v>
      </c>
    </row>
    <row r="749" spans="1:2">
      <c r="A749" s="1">
        <v>45890</v>
      </c>
      <c r="B749" s="6">
        <v>8.01243407618046</v>
      </c>
    </row>
    <row r="750" spans="1:2">
      <c r="A750" s="1">
        <v>45891</v>
      </c>
      <c r="B750" s="6">
        <v>2.31849686515853</v>
      </c>
    </row>
    <row r="751" spans="1:2">
      <c r="A751" s="1">
        <v>45894</v>
      </c>
      <c r="B751" s="6">
        <v>10.953861921696</v>
      </c>
    </row>
    <row r="752" spans="1:2">
      <c r="A752" s="1">
        <v>45895</v>
      </c>
      <c r="B752" s="6">
        <v>10.7472656266544</v>
      </c>
    </row>
    <row r="753" spans="1:2">
      <c r="A753" s="1">
        <v>45896</v>
      </c>
      <c r="B753" s="6">
        <v>9.33376795756258</v>
      </c>
    </row>
    <row r="754" spans="1:2">
      <c r="A754" s="1">
        <v>45897</v>
      </c>
      <c r="B754" s="6">
        <v>16.5698108696356</v>
      </c>
    </row>
    <row r="755" spans="1:2">
      <c r="A755" s="1">
        <v>45898</v>
      </c>
      <c r="B755" s="6">
        <v>15.1397685760425</v>
      </c>
    </row>
    <row r="756" spans="1:2">
      <c r="A756" s="1">
        <v>45901</v>
      </c>
      <c r="B756" s="6">
        <v>26.7844102393406</v>
      </c>
    </row>
    <row r="757" spans="1:2">
      <c r="A757" s="1">
        <v>45902</v>
      </c>
      <c r="B757" s="6">
        <v>15.2553333761171</v>
      </c>
    </row>
    <row r="758" spans="1:2">
      <c r="A758" s="1">
        <v>45903</v>
      </c>
      <c r="B758" s="6">
        <v>17.1513026063675</v>
      </c>
    </row>
    <row r="759" spans="1:2">
      <c r="A759" s="1">
        <v>45904</v>
      </c>
      <c r="B759" s="6">
        <v>11.2891052826983</v>
      </c>
    </row>
    <row r="760" spans="1:2">
      <c r="A760" s="1">
        <v>45905</v>
      </c>
      <c r="B760" s="6">
        <v>6.16889063114936</v>
      </c>
    </row>
    <row r="761" spans="1:2">
      <c r="A761" s="1">
        <v>45908</v>
      </c>
      <c r="B761" s="6">
        <v>25.6578949438113</v>
      </c>
    </row>
    <row r="762" spans="1:2">
      <c r="A762" s="1">
        <v>45909</v>
      </c>
      <c r="B762" s="6">
        <v>23.1523007677739</v>
      </c>
    </row>
    <row r="763" spans="1:2">
      <c r="A763" s="1">
        <v>45910</v>
      </c>
      <c r="B763" s="6">
        <v>34.2176532887661</v>
      </c>
    </row>
    <row r="764" spans="1:2">
      <c r="A764" s="1">
        <v>45911</v>
      </c>
      <c r="B764" s="6">
        <v>5.83281233749142</v>
      </c>
    </row>
    <row r="765" spans="1:2">
      <c r="A765" s="1">
        <v>45912</v>
      </c>
      <c r="B765" s="6">
        <v>16.8871910044383</v>
      </c>
    </row>
    <row r="766" spans="1:2">
      <c r="A766" s="1">
        <v>45915</v>
      </c>
      <c r="B766" s="6">
        <v>31.6705883920388</v>
      </c>
    </row>
    <row r="767" spans="1:2">
      <c r="A767" s="1">
        <v>45916</v>
      </c>
      <c r="B767" s="6">
        <v>18.0629296896391</v>
      </c>
    </row>
    <row r="768" spans="1:2">
      <c r="A768" s="1">
        <v>45917</v>
      </c>
      <c r="B768" s="6">
        <v>8.61757544170245</v>
      </c>
    </row>
    <row r="769" spans="1:2">
      <c r="A769" s="1">
        <v>45918</v>
      </c>
      <c r="B769" s="6">
        <v>36.1169717733207</v>
      </c>
    </row>
    <row r="770" spans="1:2">
      <c r="A770" s="1">
        <v>45919</v>
      </c>
      <c r="B770" s="6">
        <v>13.858027694296</v>
      </c>
    </row>
    <row r="771" spans="1:2">
      <c r="A771" s="1">
        <v>45922</v>
      </c>
      <c r="B771" s="6">
        <v>14.6690761286606</v>
      </c>
    </row>
    <row r="772" spans="1:2">
      <c r="A772" s="1">
        <v>45923</v>
      </c>
      <c r="B772" s="6">
        <v>16.3538531434501</v>
      </c>
    </row>
    <row r="773" spans="1:2">
      <c r="A773" s="1">
        <v>45924</v>
      </c>
      <c r="B773" s="6">
        <v>13.4487099186652</v>
      </c>
    </row>
    <row r="774" spans="1:2">
      <c r="A774" s="1">
        <v>45925</v>
      </c>
      <c r="B774" s="6">
        <v>13.3641337506197</v>
      </c>
    </row>
    <row r="775" spans="1:2">
      <c r="A775" s="1">
        <v>45926</v>
      </c>
      <c r="B775" s="6">
        <v>12.8045028486516</v>
      </c>
    </row>
    <row r="776" spans="1:2">
      <c r="A776" s="1">
        <v>45929</v>
      </c>
      <c r="B776" s="6">
        <v>9.90600088208426</v>
      </c>
    </row>
    <row r="777" spans="1:2">
      <c r="A777" s="1">
        <v>45930</v>
      </c>
      <c r="B777" s="6">
        <v>10.5089932186015</v>
      </c>
    </row>
    <row r="778" spans="1:2">
      <c r="A778" s="1">
        <v>45939</v>
      </c>
      <c r="B778" s="6">
        <v>12.4750401635439</v>
      </c>
    </row>
    <row r="779" spans="1:2">
      <c r="A779" s="1">
        <v>45940</v>
      </c>
      <c r="B779" s="6">
        <v>12.5850860853187</v>
      </c>
    </row>
    <row r="780" spans="1:2">
      <c r="A780" s="1">
        <v>45943</v>
      </c>
      <c r="B780" s="6">
        <v>14.2267504260373</v>
      </c>
    </row>
    <row r="781" spans="1:2">
      <c r="A781" s="1">
        <v>45944</v>
      </c>
      <c r="B781" s="6">
        <v>15.7322156469472</v>
      </c>
    </row>
    <row r="782" spans="1:2">
      <c r="A782" s="1">
        <v>45945</v>
      </c>
      <c r="B782" s="6">
        <v>14.4937208542924</v>
      </c>
    </row>
    <row r="783" spans="1:2">
      <c r="A783" s="1">
        <v>45946</v>
      </c>
      <c r="B783" s="6">
        <v>14.1452440522154</v>
      </c>
    </row>
    <row r="784" spans="1:2">
      <c r="A784" s="1">
        <v>45947</v>
      </c>
      <c r="B784" s="6">
        <v>12.4555340849629</v>
      </c>
    </row>
    <row r="785" spans="1:2">
      <c r="A785" s="1">
        <v>45950</v>
      </c>
      <c r="B785" s="6">
        <v>13.8125211325791</v>
      </c>
    </row>
    <row r="786" spans="1:2">
      <c r="A786" s="1">
        <v>45951</v>
      </c>
      <c r="B786" s="6">
        <v>12.4750702841382</v>
      </c>
    </row>
    <row r="787" spans="1:2">
      <c r="A787" s="1">
        <v>45952</v>
      </c>
      <c r="B787" s="6">
        <v>11.8478163141147</v>
      </c>
    </row>
    <row r="788" spans="1:2">
      <c r="A788" s="1">
        <v>45953</v>
      </c>
      <c r="B788" s="6">
        <v>10.5150135215408</v>
      </c>
    </row>
    <row r="789" spans="1:2">
      <c r="A789" s="1">
        <v>45954</v>
      </c>
      <c r="B789" s="6">
        <v>9.96381708441113</v>
      </c>
    </row>
    <row r="790" spans="1:2">
      <c r="A790" s="1">
        <v>45957</v>
      </c>
      <c r="B790" s="6">
        <v>14.4074607073786</v>
      </c>
    </row>
    <row r="791" spans="1:2">
      <c r="A791" s="1">
        <v>45958</v>
      </c>
      <c r="B791" s="6">
        <v>12.3094027559479</v>
      </c>
    </row>
    <row r="792" spans="1:2">
      <c r="A792" s="1">
        <v>45959</v>
      </c>
      <c r="B792" s="6">
        <v>10.666352286674</v>
      </c>
    </row>
    <row r="793" spans="1:2">
      <c r="A793" s="1">
        <v>45960</v>
      </c>
      <c r="B793" s="6">
        <v>10.8941696670937</v>
      </c>
    </row>
    <row r="794" spans="1:2">
      <c r="A794" s="1">
        <v>45961</v>
      </c>
      <c r="B794" s="6">
        <v>12.8103217191094</v>
      </c>
    </row>
    <row r="795" spans="1:2">
      <c r="A795" s="1">
        <v>45964</v>
      </c>
      <c r="B795" s="6">
        <v>13.2770733374773</v>
      </c>
    </row>
    <row r="796" spans="1:2">
      <c r="A796" s="1">
        <v>45965</v>
      </c>
      <c r="B796" s="6">
        <v>14.9645878867514</v>
      </c>
    </row>
    <row r="797" spans="1:2">
      <c r="A797" s="1">
        <v>45966</v>
      </c>
      <c r="B797" s="6">
        <v>15.6351887941557</v>
      </c>
    </row>
    <row r="798" spans="1:2">
      <c r="A798" s="1">
        <v>45967</v>
      </c>
      <c r="B798" s="6">
        <v>15.1898097406828</v>
      </c>
    </row>
    <row r="799" spans="1:2">
      <c r="A799" s="1">
        <v>45968</v>
      </c>
      <c r="B799" s="6">
        <v>13.8878304025397</v>
      </c>
    </row>
    <row r="800" spans="1:2">
      <c r="A800" s="1">
        <v>45971</v>
      </c>
      <c r="B800" s="6">
        <v>15.6737551284422</v>
      </c>
    </row>
    <row r="801" spans="1:2">
      <c r="A801" s="1">
        <v>45972</v>
      </c>
      <c r="B801" s="6">
        <v>17.192813564665</v>
      </c>
    </row>
    <row r="802" spans="1:2">
      <c r="A802" s="1">
        <v>45973</v>
      </c>
      <c r="B802" s="6">
        <v>13.903421583146</v>
      </c>
    </row>
    <row r="803" spans="1:2">
      <c r="A803" s="1">
        <v>45974</v>
      </c>
      <c r="B803" s="6">
        <v>13.6836704275596</v>
      </c>
    </row>
    <row r="804" spans="1:2">
      <c r="A804" s="1">
        <v>45975</v>
      </c>
      <c r="B804" s="6">
        <v>16.7575200930941</v>
      </c>
    </row>
    <row r="805" spans="1:2">
      <c r="A805" s="1">
        <v>45978</v>
      </c>
      <c r="B805" s="6">
        <v>17.104147747654</v>
      </c>
    </row>
    <row r="806" spans="1:2">
      <c r="A806" s="1">
        <v>45979</v>
      </c>
      <c r="B806" s="6">
        <v>13.4682965774975</v>
      </c>
    </row>
    <row r="807" spans="1:2">
      <c r="A807" s="1">
        <v>45980</v>
      </c>
      <c r="B807" s="6">
        <v>13.0967282403412</v>
      </c>
    </row>
    <row r="808" spans="1:2">
      <c r="A808" s="1">
        <v>45981</v>
      </c>
      <c r="B808" s="6">
        <v>11.891177054077</v>
      </c>
    </row>
    <row r="809" spans="1:2">
      <c r="A809" s="1">
        <v>45982</v>
      </c>
      <c r="B809" s="6">
        <v>8.33823136840124</v>
      </c>
    </row>
    <row r="810" spans="1:2">
      <c r="A810" s="1">
        <v>45985</v>
      </c>
      <c r="B810" s="6">
        <v>10.6912042542009</v>
      </c>
    </row>
    <row r="811" spans="1:2">
      <c r="A811" s="1">
        <v>45986</v>
      </c>
      <c r="B811" s="6">
        <v>14.1465823501265</v>
      </c>
    </row>
    <row r="812" spans="1:2">
      <c r="A812" s="1">
        <v>45987</v>
      </c>
      <c r="B812" s="6">
        <v>13.8437472387293</v>
      </c>
    </row>
    <row r="813" spans="1:2">
      <c r="A813" s="1">
        <v>45988</v>
      </c>
      <c r="B813" s="6">
        <v>15.897245702386</v>
      </c>
    </row>
    <row r="814" spans="1:2">
      <c r="A814" s="1">
        <v>45989</v>
      </c>
      <c r="B814" s="6">
        <v>15.6394023271519</v>
      </c>
    </row>
    <row r="815" spans="1:2">
      <c r="A815" s="1">
        <v>45992</v>
      </c>
      <c r="B815" s="6">
        <v>21.8142849928456</v>
      </c>
    </row>
    <row r="816" spans="1:2">
      <c r="A816" s="1">
        <v>45993</v>
      </c>
      <c r="B816" s="6">
        <v>17.9660997878467</v>
      </c>
    </row>
    <row r="817" spans="1:2">
      <c r="A817" s="1">
        <v>45994</v>
      </c>
      <c r="B817" s="6">
        <v>14.0282733835353</v>
      </c>
    </row>
    <row r="818" spans="1:2">
      <c r="A818" s="1">
        <v>45995</v>
      </c>
      <c r="B818" s="6">
        <v>10.1332847303091</v>
      </c>
    </row>
    <row r="819" spans="1:2">
      <c r="A819" s="1">
        <v>45996</v>
      </c>
      <c r="B819" s="6">
        <v>7.0239958796057</v>
      </c>
    </row>
    <row r="820" spans="1:2">
      <c r="A820" s="1">
        <v>45999</v>
      </c>
      <c r="B820" s="6">
        <v>14.3627692900524</v>
      </c>
    </row>
    <row r="821" spans="1:2">
      <c r="A821" s="1">
        <v>46000</v>
      </c>
      <c r="B821" s="6">
        <v>12.3384929901242</v>
      </c>
    </row>
    <row r="822" spans="1:2">
      <c r="A822" s="1">
        <v>46001</v>
      </c>
      <c r="B822" s="6">
        <v>15.5418491812386</v>
      </c>
    </row>
    <row r="823" spans="1:2">
      <c r="A823" s="1">
        <v>46002</v>
      </c>
      <c r="B823" s="6">
        <v>3.6120686418706</v>
      </c>
    </row>
    <row r="824" spans="1:2">
      <c r="A824" s="1">
        <v>46003</v>
      </c>
      <c r="B824" s="6">
        <v>5.16758944338939</v>
      </c>
    </row>
    <row r="825" spans="1:2">
      <c r="A825" s="1">
        <v>46006</v>
      </c>
      <c r="B825" s="6">
        <v>0.737097123406016</v>
      </c>
    </row>
    <row r="826" spans="1:2">
      <c r="A826" s="1">
        <v>46007</v>
      </c>
      <c r="B826" s="6">
        <v>-6.42264558692895</v>
      </c>
    </row>
    <row r="827" spans="1:2">
      <c r="A827" s="1">
        <v>46008</v>
      </c>
      <c r="B827" s="6">
        <v>-7.15898927035143</v>
      </c>
    </row>
    <row r="828" spans="1:2">
      <c r="A828" s="1">
        <v>46009</v>
      </c>
      <c r="B828" s="6">
        <v>-5.15235515570428</v>
      </c>
    </row>
    <row r="829" spans="1:2">
      <c r="A829" s="1">
        <v>46010</v>
      </c>
      <c r="B829" s="6">
        <v>11.0558100680857</v>
      </c>
    </row>
    <row r="830" spans="1:2">
      <c r="A830" s="1">
        <v>46013</v>
      </c>
      <c r="B830" s="6">
        <v>12.1217436823652</v>
      </c>
    </row>
    <row r="831" spans="1:2">
      <c r="A831" s="1">
        <v>46014</v>
      </c>
      <c r="B831" s="6">
        <v>11.7772899619492</v>
      </c>
    </row>
    <row r="832" spans="1:2">
      <c r="A832" s="1">
        <v>46015</v>
      </c>
      <c r="B832" s="6">
        <v>10.8260250041748</v>
      </c>
    </row>
    <row r="833" spans="1:2">
      <c r="A833" s="1">
        <v>46016</v>
      </c>
      <c r="B833" s="6">
        <v>9.79626198316606</v>
      </c>
    </row>
    <row r="834" spans="1:2">
      <c r="A834" s="1">
        <v>46017</v>
      </c>
      <c r="B834" s="6">
        <v>8.25677151588212</v>
      </c>
    </row>
    <row r="835" spans="1:2">
      <c r="A835" s="1">
        <v>46020</v>
      </c>
      <c r="B835" s="6">
        <v>9.82267643554628</v>
      </c>
    </row>
    <row r="836" spans="1:2">
      <c r="A836" s="1">
        <v>46021</v>
      </c>
      <c r="B836" s="6">
        <v>8.91048097952893</v>
      </c>
    </row>
    <row r="837" spans="1:2">
      <c r="A837" s="1">
        <v>46022</v>
      </c>
      <c r="B837" s="6">
        <v>10.4725833508936</v>
      </c>
    </row>
    <row r="838" spans="1:2">
      <c r="A838" s="1">
        <v>46027</v>
      </c>
      <c r="B838" s="6">
        <v>7.55908588963967</v>
      </c>
    </row>
    <row r="839" spans="1:2">
      <c r="A839" s="1">
        <v>46028</v>
      </c>
      <c r="B839" s="6">
        <v>6.78802838188709</v>
      </c>
    </row>
    <row r="840" spans="1:2">
      <c r="A840" s="1">
        <v>46029</v>
      </c>
      <c r="B840" s="6">
        <v>9.83712465583038</v>
      </c>
    </row>
    <row r="841" spans="1:2">
      <c r="A841" s="1">
        <v>46030</v>
      </c>
      <c r="B841" s="6">
        <v>10.2939425471056</v>
      </c>
    </row>
    <row r="842" spans="1:2">
      <c r="A842" s="1">
        <v>46031</v>
      </c>
      <c r="B842" s="6">
        <v>5.52078842952871</v>
      </c>
    </row>
    <row r="843" spans="1:2">
      <c r="A843" s="1">
        <v>46034</v>
      </c>
      <c r="B843" s="6">
        <v>3.10100960556938</v>
      </c>
    </row>
    <row r="844" spans="1:2">
      <c r="A844" s="1">
        <v>46035</v>
      </c>
      <c r="B844" s="6">
        <v>3.0286713542079</v>
      </c>
    </row>
    <row r="845" spans="1:2">
      <c r="A845" s="1">
        <v>46036</v>
      </c>
      <c r="B845" s="6">
        <v>7.29319837269584</v>
      </c>
    </row>
    <row r="846" spans="1:2">
      <c r="A846" s="1">
        <v>46037</v>
      </c>
      <c r="B846" s="6">
        <v>3.35742009297641</v>
      </c>
    </row>
    <row r="847" spans="1:2">
      <c r="A847" s="1">
        <v>46038</v>
      </c>
      <c r="B847" s="6">
        <v>4.06375714308992</v>
      </c>
    </row>
    <row r="848" spans="1:2">
      <c r="A848" s="1">
        <v>46041</v>
      </c>
      <c r="B848" s="6">
        <v>6.13026976954812</v>
      </c>
    </row>
    <row r="849" spans="1:2">
      <c r="A849" s="1">
        <v>46042</v>
      </c>
      <c r="B849" s="6">
        <v>4.98096793347711</v>
      </c>
    </row>
    <row r="850" spans="1:2">
      <c r="A850" s="1">
        <v>46043</v>
      </c>
      <c r="B850" s="6">
        <v>1.36646128467973</v>
      </c>
    </row>
    <row r="851" spans="1:2">
      <c r="A851" s="1">
        <v>46044</v>
      </c>
      <c r="B851" s="6">
        <v>1.39949515264945</v>
      </c>
    </row>
    <row r="852" spans="1:2">
      <c r="A852" s="1">
        <v>46045</v>
      </c>
      <c r="B852" s="6">
        <v>-3.86677124757671</v>
      </c>
    </row>
    <row r="853" spans="1:2">
      <c r="A853" s="1">
        <v>46048</v>
      </c>
      <c r="B853" s="6">
        <v>6.70076125893565</v>
      </c>
    </row>
    <row r="854" spans="1:2">
      <c r="A854" s="1">
        <v>46049</v>
      </c>
      <c r="B854" s="6">
        <v>2.25526955603575</v>
      </c>
    </row>
    <row r="855" spans="1:2">
      <c r="A855" s="1">
        <v>46050</v>
      </c>
      <c r="B855" s="6">
        <v>2.04560453019694</v>
      </c>
    </row>
    <row r="856" spans="1:2">
      <c r="A856" s="1">
        <v>46051</v>
      </c>
      <c r="B856" s="6">
        <v>0.310367766932293</v>
      </c>
    </row>
    <row r="857" spans="1:2">
      <c r="A857" s="1">
        <v>46052</v>
      </c>
      <c r="B857" s="6">
        <v>-0.579426320919496</v>
      </c>
    </row>
    <row r="858" spans="1:2">
      <c r="A858" s="1">
        <v>46055</v>
      </c>
      <c r="B858" s="6">
        <v>11.2012468821655</v>
      </c>
    </row>
    <row r="859" spans="1:2">
      <c r="A859" s="1">
        <v>46056</v>
      </c>
      <c r="B859" s="6">
        <v>2.8388570545928</v>
      </c>
    </row>
    <row r="860" spans="1:2">
      <c r="A860" s="1">
        <v>46057</v>
      </c>
      <c r="B860" s="6">
        <v>0.419723617579118</v>
      </c>
    </row>
    <row r="861" spans="1:2">
      <c r="A861" s="1">
        <v>46058</v>
      </c>
      <c r="B861" s="6">
        <v>3.36996481644554</v>
      </c>
    </row>
    <row r="862" spans="1:2">
      <c r="A862" s="1">
        <v>46059</v>
      </c>
      <c r="B862" s="6">
        <v>7.54811400732044</v>
      </c>
    </row>
    <row r="863" spans="1:2">
      <c r="A863" s="1">
        <v>46062</v>
      </c>
      <c r="B863" s="6">
        <v>0.149068360673847</v>
      </c>
    </row>
    <row r="864" spans="1:2">
      <c r="A864" s="1">
        <v>46063</v>
      </c>
      <c r="B864" s="6">
        <v>2.80623520697096</v>
      </c>
    </row>
    <row r="865" spans="1:2">
      <c r="A865" s="1">
        <v>46064</v>
      </c>
      <c r="B865" s="6">
        <v>-0.205081626459208</v>
      </c>
    </row>
    <row r="866" spans="1:2">
      <c r="A866" s="1">
        <v>46065</v>
      </c>
      <c r="B866" s="6">
        <v>-3.31705001644091</v>
      </c>
    </row>
    <row r="867" spans="1:2">
      <c r="A867" s="1">
        <v>46066</v>
      </c>
      <c r="B867" s="6">
        <v>2.41159797911224</v>
      </c>
    </row>
    <row r="868" spans="1:2">
      <c r="A868" s="1">
        <v>46077</v>
      </c>
      <c r="B868" s="6">
        <v>4.561080460313</v>
      </c>
    </row>
    <row r="869" spans="1:2">
      <c r="A869" s="1">
        <v>46078</v>
      </c>
      <c r="B869" s="6">
        <v>3.41709929793521</v>
      </c>
    </row>
    <row r="870" spans="1:2">
      <c r="A870" s="1">
        <v>46079</v>
      </c>
      <c r="B870" s="6">
        <v>8.17811042812556</v>
      </c>
    </row>
    <row r="871" spans="1:2">
      <c r="A871" s="1">
        <v>46080</v>
      </c>
      <c r="B871" s="6">
        <v>5.37390472384902</v>
      </c>
    </row>
    <row r="872" spans="1:2">
      <c r="A872" s="1">
        <v>46083</v>
      </c>
      <c r="B872" s="6">
        <v>10.4528369921705</v>
      </c>
    </row>
    <row r="873" spans="1:2">
      <c r="A873" s="1">
        <v>46084</v>
      </c>
      <c r="B873" s="6">
        <v>2.86281724347741</v>
      </c>
    </row>
    <row r="874" spans="1:2">
      <c r="A874" s="1">
        <v>46085</v>
      </c>
      <c r="B874" s="6">
        <v>7.2029515427648</v>
      </c>
    </row>
    <row r="875" spans="1:2">
      <c r="A875" s="1">
        <v>46086</v>
      </c>
      <c r="B875" s="6">
        <v>10.4839266779856</v>
      </c>
    </row>
    <row r="876" spans="1:2">
      <c r="A876" s="1">
        <v>46087</v>
      </c>
      <c r="B876" s="6">
        <v>10.2099270594366</v>
      </c>
    </row>
    <row r="877" spans="1:2">
      <c r="A877" s="1">
        <v>46090</v>
      </c>
      <c r="B877" s="6">
        <v>3.92153399529691</v>
      </c>
    </row>
    <row r="878" spans="1:2">
      <c r="A878" s="1">
        <v>46091</v>
      </c>
      <c r="B878" s="6">
        <v>12.1387918999093</v>
      </c>
    </row>
    <row r="879" spans="1:2">
      <c r="A879" s="1">
        <v>46092</v>
      </c>
      <c r="B879" s="6">
        <v>18.8789239400004</v>
      </c>
    </row>
    <row r="880" spans="1:2">
      <c r="A880" s="1">
        <v>46093</v>
      </c>
      <c r="B880" s="6">
        <v>25.1527151350828</v>
      </c>
    </row>
    <row r="881" spans="1:2">
      <c r="A881" s="1">
        <v>46094</v>
      </c>
      <c r="B881" s="6">
        <v>13.844060858834</v>
      </c>
    </row>
    <row r="882" spans="1:2">
      <c r="A882" s="1">
        <v>46097</v>
      </c>
      <c r="B882" s="6">
        <v>14.8280702676511</v>
      </c>
    </row>
    <row r="883" spans="1:2">
      <c r="A883" s="1">
        <v>46098</v>
      </c>
      <c r="B883" s="6">
        <v>4.56437383564769</v>
      </c>
    </row>
    <row r="884" spans="1:2">
      <c r="A884" s="1">
        <v>46099</v>
      </c>
      <c r="B884" s="6">
        <v>16.6683241535897</v>
      </c>
    </row>
    <row r="885" spans="1:2">
      <c r="A885" s="1">
        <v>46100</v>
      </c>
      <c r="B885" s="6">
        <v>-23.0200855220589</v>
      </c>
    </row>
    <row r="886" spans="1:2">
      <c r="A886" s="1">
        <v>46101</v>
      </c>
      <c r="B886" s="6">
        <v>11.5751672930007</v>
      </c>
    </row>
    <row r="887" spans="1:2">
      <c r="A887" s="1">
        <v>46104</v>
      </c>
      <c r="B887" s="6">
        <v>12.1199317645764</v>
      </c>
    </row>
    <row r="888" spans="1:2">
      <c r="A888" s="1">
        <v>46105</v>
      </c>
      <c r="B888" s="6">
        <v>11.7123252686593</v>
      </c>
    </row>
    <row r="889" spans="1:2">
      <c r="A889" s="1">
        <v>46106</v>
      </c>
      <c r="B889" s="6">
        <v>14.9666041121816</v>
      </c>
    </row>
    <row r="890" spans="1:2">
      <c r="A890" s="1">
        <v>46107</v>
      </c>
      <c r="B890" s="6">
        <v>14.8829740746416</v>
      </c>
    </row>
    <row r="891" spans="1:2">
      <c r="A891" s="1">
        <v>46108</v>
      </c>
      <c r="B891" s="6">
        <v>12.5986987167199</v>
      </c>
    </row>
    <row r="892" spans="1:2">
      <c r="A892" s="1">
        <v>46111</v>
      </c>
      <c r="B892" s="6">
        <v>14.8579121758943</v>
      </c>
    </row>
    <row r="893" spans="1:2">
      <c r="A893" s="1">
        <v>46112</v>
      </c>
      <c r="B893" s="6">
        <v>14.343535188492</v>
      </c>
    </row>
    <row r="894" spans="1:2">
      <c r="A894" s="1">
        <v>46113</v>
      </c>
      <c r="B894" s="6">
        <v>14.641870180031</v>
      </c>
    </row>
    <row r="895" spans="1:2">
      <c r="A895" s="1">
        <v>46114</v>
      </c>
      <c r="B895" s="6">
        <v>15.5811380316976</v>
      </c>
    </row>
    <row r="896" spans="1:2">
      <c r="A896" s="1">
        <v>46115</v>
      </c>
      <c r="B896" s="6">
        <v>14.4933687077971</v>
      </c>
    </row>
    <row r="897" spans="1:2">
      <c r="A897" s="1">
        <v>46119</v>
      </c>
      <c r="B897" s="6">
        <v>14.7855472267913</v>
      </c>
    </row>
    <row r="898" spans="1:2">
      <c r="A898" s="1">
        <v>46120</v>
      </c>
      <c r="B898" s="6">
        <v>11.172296066336</v>
      </c>
    </row>
    <row r="899" spans="1:2">
      <c r="A899" s="1">
        <v>46121</v>
      </c>
      <c r="B899" s="6">
        <v>13.6574790722778</v>
      </c>
    </row>
    <row r="900" spans="1:2">
      <c r="A900" s="1">
        <v>46122</v>
      </c>
      <c r="B900" s="6">
        <v>13.8332654850055</v>
      </c>
    </row>
    <row r="901" spans="1:2">
      <c r="A901" s="1">
        <v>46125</v>
      </c>
      <c r="B901" s="6">
        <v>15.2419962818915</v>
      </c>
    </row>
    <row r="902" spans="1:2">
      <c r="A902" s="1">
        <v>46126</v>
      </c>
      <c r="B902" s="6">
        <v>15.4648735344667</v>
      </c>
    </row>
    <row r="903" spans="1:2">
      <c r="A903" s="1">
        <v>46127</v>
      </c>
      <c r="B903" s="6">
        <v>13.8142190368714</v>
      </c>
    </row>
    <row r="904" spans="1:2">
      <c r="A904" s="1">
        <v>46128</v>
      </c>
      <c r="B904" s="6">
        <v>12.4763813940267</v>
      </c>
    </row>
    <row r="905" spans="1:2">
      <c r="A905" s="1">
        <v>46129</v>
      </c>
      <c r="B905" s="6">
        <v>12.2778834926145</v>
      </c>
    </row>
    <row r="906" spans="1:2">
      <c r="A906" s="1">
        <v>46132</v>
      </c>
      <c r="B906" s="6">
        <v>14.1451533784222</v>
      </c>
    </row>
    <row r="907" spans="1:2">
      <c r="A907" s="1">
        <v>46133</v>
      </c>
      <c r="B907" s="6">
        <v>13.227028163497</v>
      </c>
    </row>
    <row r="908" spans="1:2">
      <c r="A908" s="1">
        <v>46134</v>
      </c>
      <c r="B908" s="6">
        <v>11.6757474146145</v>
      </c>
    </row>
    <row r="909" spans="1:2">
      <c r="A909" s="1">
        <v>46135</v>
      </c>
      <c r="B909" s="6">
        <v>11.0027271584915</v>
      </c>
    </row>
    <row r="910" spans="1:2">
      <c r="A910" s="1">
        <v>46136</v>
      </c>
      <c r="B910" s="6">
        <v>11.1818971276137</v>
      </c>
    </row>
    <row r="911" spans="1:2">
      <c r="A911" s="1">
        <v>46139</v>
      </c>
      <c r="B911" s="6">
        <v>11.3056267390653</v>
      </c>
    </row>
    <row r="912" spans="1:2">
      <c r="A912" s="1">
        <v>46140</v>
      </c>
      <c r="B912" s="6">
        <v>10.3906268947681</v>
      </c>
    </row>
    <row r="913" spans="1:2">
      <c r="A913" s="1">
        <v>46141</v>
      </c>
      <c r="B913" s="6">
        <v>8.31016100853799</v>
      </c>
    </row>
    <row r="914" spans="1:2">
      <c r="A914" s="1">
        <v>46142</v>
      </c>
      <c r="B914" s="6">
        <v>9.0132879109671</v>
      </c>
    </row>
    <row r="915" spans="1:2">
      <c r="A915" s="1">
        <v>46148</v>
      </c>
      <c r="B915" s="6">
        <v>9.97981737992562</v>
      </c>
    </row>
    <row r="916" spans="1:2">
      <c r="A916" s="1">
        <v>46149</v>
      </c>
      <c r="B916" s="6">
        <v>7.79142344205238</v>
      </c>
    </row>
    <row r="917" spans="1:2">
      <c r="A917" s="1">
        <v>46150</v>
      </c>
      <c r="B917" s="6">
        <v>9.12911289962119</v>
      </c>
    </row>
    <row r="918" spans="1:2">
      <c r="A918" s="1">
        <v>46153</v>
      </c>
      <c r="B918" s="6">
        <v>13.5129112045556</v>
      </c>
    </row>
    <row r="919" spans="1:2">
      <c r="A919" s="1">
        <v>46154</v>
      </c>
      <c r="B919" s="6">
        <v>11.7348608065045</v>
      </c>
    </row>
    <row r="920" spans="1:2">
      <c r="A920" s="1">
        <v>46155</v>
      </c>
      <c r="B920" s="6">
        <v>8.4592667813636</v>
      </c>
    </row>
    <row r="921" spans="1:2">
      <c r="A921" s="1">
        <v>46156</v>
      </c>
      <c r="B921" s="6">
        <v>9.3775707610855</v>
      </c>
    </row>
    <row r="922" spans="1:2">
      <c r="A922" s="1">
        <v>46157</v>
      </c>
      <c r="B922" s="6">
        <v>11.080182286137</v>
      </c>
    </row>
    <row r="923" spans="1:2">
      <c r="A923" s="1">
        <v>46160</v>
      </c>
      <c r="B923" s="6">
        <v>10.0471396731447</v>
      </c>
    </row>
    <row r="924" spans="1:2">
      <c r="A924" s="1">
        <v>46161</v>
      </c>
      <c r="B924" s="6">
        <v>10.6482165521229</v>
      </c>
    </row>
    <row r="925" spans="1:2">
      <c r="A925" s="1">
        <v>46162</v>
      </c>
      <c r="B925" s="6">
        <v>12.8216902098554</v>
      </c>
    </row>
    <row r="926" spans="1:2">
      <c r="A926" s="1">
        <v>46163</v>
      </c>
      <c r="B926" s="6">
        <v>9.65329401629198</v>
      </c>
    </row>
    <row r="927" spans="1:2">
      <c r="A927" s="1">
        <v>46164</v>
      </c>
      <c r="B927" s="6">
        <v>14.0876154237648</v>
      </c>
    </row>
    <row r="928" spans="1:2">
      <c r="A928" s="1">
        <v>46167</v>
      </c>
      <c r="B928" s="6">
        <v>19.5912484790289</v>
      </c>
    </row>
    <row r="929" spans="1:2">
      <c r="A929" s="1">
        <v>46168</v>
      </c>
      <c r="B929" s="6">
        <v>13.8213398928843</v>
      </c>
    </row>
    <row r="930" spans="1:2">
      <c r="A930" s="1">
        <v>46169</v>
      </c>
      <c r="B930" s="6">
        <v>17.11454738146</v>
      </c>
    </row>
    <row r="931" spans="1:2">
      <c r="A931" s="1">
        <v>46170</v>
      </c>
      <c r="B931" s="6">
        <v>19.2968096356817</v>
      </c>
    </row>
    <row r="932" spans="1:2">
      <c r="A932" s="1">
        <v>46171</v>
      </c>
      <c r="B932" s="6">
        <v>11.8804460996437</v>
      </c>
    </row>
    <row r="933" spans="1:2">
      <c r="A933" s="1">
        <v>46174</v>
      </c>
      <c r="B933" s="6">
        <v>7.85470173253538</v>
      </c>
    </row>
    <row r="934" spans="1:2">
      <c r="A934" s="1">
        <v>46175</v>
      </c>
      <c r="B934" s="6">
        <v>12.8168435178043</v>
      </c>
    </row>
    <row r="935" spans="1:2">
      <c r="A935" s="1">
        <v>46176</v>
      </c>
      <c r="B935" s="6">
        <v>14.6588600773802</v>
      </c>
    </row>
    <row r="936" spans="1:2">
      <c r="A936" s="1">
        <v>46177</v>
      </c>
      <c r="B936" s="6">
        <v>16.1554499241219</v>
      </c>
    </row>
    <row r="937" spans="1:2">
      <c r="A937" s="1">
        <v>46178</v>
      </c>
      <c r="B937" s="6">
        <v>13.3958533136086</v>
      </c>
    </row>
    <row r="938" spans="1:2">
      <c r="A938" s="1">
        <v>46181</v>
      </c>
      <c r="B938" s="6">
        <v>2.61759878228915</v>
      </c>
    </row>
    <row r="939" spans="1:2">
      <c r="A939" s="1">
        <v>46182</v>
      </c>
      <c r="B939" s="6">
        <v>28.4826230054101</v>
      </c>
    </row>
    <row r="940" spans="1:2">
      <c r="A940" s="1">
        <v>46183</v>
      </c>
      <c r="B940" s="6">
        <v>13.9210700514931</v>
      </c>
    </row>
    <row r="941" spans="1:2">
      <c r="A941" s="1">
        <v>46184</v>
      </c>
      <c r="B941" s="6">
        <v>14.468228581015</v>
      </c>
    </row>
    <row r="942" spans="1:2">
      <c r="A942" s="1">
        <v>46185</v>
      </c>
      <c r="B942" s="6">
        <v>3.04728296954192</v>
      </c>
    </row>
    <row r="943" spans="1:2">
      <c r="A943" s="1">
        <v>46188</v>
      </c>
      <c r="B943" s="6">
        <v>27.0107624096181</v>
      </c>
    </row>
    <row r="944" spans="1:2">
      <c r="A944" s="1">
        <v>46189</v>
      </c>
      <c r="B944" s="6">
        <v>31.8075895001611</v>
      </c>
    </row>
    <row r="945" spans="1:2">
      <c r="A945" s="1">
        <v>46190</v>
      </c>
      <c r="B945" s="6">
        <v>9.0640235243786</v>
      </c>
    </row>
    <row r="946" spans="1:2">
      <c r="A946" s="1">
        <v>46191</v>
      </c>
      <c r="B946" s="6">
        <v>7.16050909629245</v>
      </c>
    </row>
    <row r="947" spans="1:2">
      <c r="A947" s="1">
        <v>46195</v>
      </c>
      <c r="B947" s="6">
        <v>14.81409010175</v>
      </c>
    </row>
    <row r="948" spans="1:2">
      <c r="A948" s="1">
        <v>46196</v>
      </c>
      <c r="B948" s="6">
        <v>12.4674838359303</v>
      </c>
    </row>
    <row r="949" spans="1:2">
      <c r="A949" s="1">
        <v>46197</v>
      </c>
      <c r="B949" s="6">
        <v>14.4897380591127</v>
      </c>
    </row>
    <row r="950" spans="1:2">
      <c r="A950" s="1">
        <v>46198</v>
      </c>
      <c r="B950" s="6">
        <v>13.8028239081546</v>
      </c>
    </row>
    <row r="951" spans="1:2">
      <c r="A951" s="1">
        <v>46199</v>
      </c>
      <c r="B951" s="6">
        <v>13.4464983173288</v>
      </c>
    </row>
    <row r="952" spans="1:2">
      <c r="A952" s="1">
        <v>46202</v>
      </c>
      <c r="B952" s="6">
        <v>14.019577881397</v>
      </c>
    </row>
    <row r="953" spans="1:2">
      <c r="A953" s="1">
        <v>46203</v>
      </c>
      <c r="B953" s="6">
        <v>14.6979225508145</v>
      </c>
    </row>
    <row r="954" spans="1:2">
      <c r="A954" s="1">
        <v>46204</v>
      </c>
      <c r="B954" s="6">
        <v>17.4339174241798</v>
      </c>
    </row>
    <row r="955" spans="1:2">
      <c r="A955" s="1">
        <v>46205</v>
      </c>
      <c r="B955" s="6">
        <v>12.9734926141739</v>
      </c>
    </row>
    <row r="956" spans="1:2">
      <c r="A956" s="1">
        <v>46206</v>
      </c>
      <c r="B956" s="6">
        <v>12.8317623650214</v>
      </c>
    </row>
    <row r="957" spans="1:2">
      <c r="A957" s="1">
        <v>46209</v>
      </c>
      <c r="B957" s="6">
        <v>11.1376528935016</v>
      </c>
    </row>
    <row r="958" spans="1:2">
      <c r="A958" s="1">
        <v>46210</v>
      </c>
      <c r="B958" s="6">
        <v>10.4062339296828</v>
      </c>
    </row>
    <row r="959" spans="1:2">
      <c r="A959" s="1">
        <v>46211</v>
      </c>
      <c r="B959" s="6">
        <v>8.3591999496514</v>
      </c>
    </row>
    <row r="960" spans="1:2">
      <c r="A960" s="1">
        <v>46212</v>
      </c>
      <c r="B960" s="6">
        <v>10.002050398031</v>
      </c>
    </row>
    <row r="961" spans="1:2">
      <c r="A961" s="1">
        <v>46213</v>
      </c>
      <c r="B961" s="6">
        <v>10.697317556287</v>
      </c>
    </row>
    <row r="962" spans="1:2">
      <c r="A962" s="1">
        <v>46216</v>
      </c>
      <c r="B962" s="6">
        <v>6.64193978291502</v>
      </c>
    </row>
    <row r="963" spans="1:2">
      <c r="A963" s="1">
        <v>46217</v>
      </c>
      <c r="B963" s="6">
        <v>8.82772602532294</v>
      </c>
    </row>
    <row r="964" spans="1:2">
      <c r="A964" s="1">
        <v>46218</v>
      </c>
      <c r="B964" s="6">
        <v>6.30445113552996</v>
      </c>
    </row>
    <row r="965" spans="1:2">
      <c r="A965" s="1">
        <v>46219</v>
      </c>
      <c r="B965" s="6">
        <v>5.51740896637073</v>
      </c>
    </row>
    <row r="966" spans="1:2">
      <c r="A966" s="1">
        <v>46220</v>
      </c>
      <c r="B966" s="6">
        <v>7.7939967790051</v>
      </c>
    </row>
    <row r="967" spans="1:2">
      <c r="A967" s="1">
        <v>46223</v>
      </c>
      <c r="B967" s="6">
        <v>9.21827120139721</v>
      </c>
    </row>
    <row r="968" spans="1:2">
      <c r="A968" s="1">
        <v>46224</v>
      </c>
      <c r="B968" s="6">
        <v>7.47126232397103</v>
      </c>
    </row>
    <row r="969" spans="1:2">
      <c r="A969" s="1">
        <v>46225</v>
      </c>
      <c r="B969" s="6">
        <v>10.5548161111779</v>
      </c>
    </row>
    <row r="970" spans="1:2">
      <c r="A970" s="1">
        <v>46226</v>
      </c>
      <c r="B970" s="6">
        <v>10.2494370792026</v>
      </c>
    </row>
    <row r="971" spans="1:2">
      <c r="A971" s="1">
        <v>46227</v>
      </c>
      <c r="B971" s="6">
        <v>10.0665682362795</v>
      </c>
    </row>
    <row r="972" spans="1:2">
      <c r="A972" s="1">
        <v>46230</v>
      </c>
      <c r="B972" s="6">
        <v>6.91545203761431</v>
      </c>
    </row>
    <row r="973" spans="1:2">
      <c r="A973" s="1">
        <v>46231</v>
      </c>
      <c r="B973" s="6">
        <v>7.57925101411975</v>
      </c>
    </row>
    <row r="974" spans="1:2">
      <c r="A974" s="1">
        <v>46232</v>
      </c>
      <c r="B974" s="6">
        <v>4.4494862961564</v>
      </c>
    </row>
    <row r="975" spans="1:2">
      <c r="A975" s="1">
        <v>46233</v>
      </c>
      <c r="B975" s="6">
        <v>5.43014225557454</v>
      </c>
    </row>
    <row r="976" spans="1:2">
      <c r="A976" s="1">
        <v>46234</v>
      </c>
      <c r="B976" s="6">
        <v>8.60818821474714</v>
      </c>
    </row>
    <row r="977" spans="1:2">
      <c r="A977" s="1">
        <v>46237</v>
      </c>
      <c r="B977" s="6">
        <v>5.68784129446454</v>
      </c>
    </row>
    <row r="978" spans="1:2">
      <c r="A978" s="1">
        <v>46238</v>
      </c>
      <c r="B978" s="6">
        <v>6.84795355526331</v>
      </c>
    </row>
    <row r="979" spans="1:2">
      <c r="A979" s="1">
        <v>46239</v>
      </c>
      <c r="B979" s="6">
        <v>5.99020901019227</v>
      </c>
    </row>
    <row r="980" spans="1:2">
      <c r="A980" s="1">
        <v>46240</v>
      </c>
      <c r="B980" s="6">
        <v>8.15702414661825</v>
      </c>
    </row>
    <row r="981" spans="1:2">
      <c r="A981" s="1">
        <v>46241</v>
      </c>
      <c r="B981" s="6">
        <v>9.33866346847525</v>
      </c>
    </row>
    <row r="982" spans="1:2">
      <c r="A982" s="1">
        <v>46244</v>
      </c>
      <c r="B982" s="6">
        <v>13.6519638853165</v>
      </c>
    </row>
    <row r="983" spans="1:2">
      <c r="A983" s="1">
        <v>46245</v>
      </c>
      <c r="B983" s="6">
        <v>9.50172593487111</v>
      </c>
    </row>
    <row r="984" spans="1:2">
      <c r="A984" s="1">
        <v>46246</v>
      </c>
      <c r="B984" s="6">
        <v>13.3253522702736</v>
      </c>
    </row>
    <row r="985" spans="1:2">
      <c r="A985" s="1">
        <v>46247</v>
      </c>
      <c r="B985" s="6">
        <v>9.80354865761748</v>
      </c>
    </row>
    <row r="986" spans="1:2">
      <c r="A986" s="1">
        <v>46248</v>
      </c>
      <c r="B986" s="6">
        <v>14.8033814764387</v>
      </c>
    </row>
    <row r="987" spans="1:2">
      <c r="A987" s="1">
        <v>46251</v>
      </c>
      <c r="B987" s="6">
        <v>11.7191907065712</v>
      </c>
    </row>
    <row r="988" spans="1:2">
      <c r="A988" s="1">
        <v>46252</v>
      </c>
      <c r="B988" s="6">
        <v>18.2173712398376</v>
      </c>
    </row>
    <row r="989" spans="1:2">
      <c r="A989" s="1">
        <v>46253</v>
      </c>
      <c r="B989" s="6">
        <v>7.08009596825704</v>
      </c>
    </row>
    <row r="990" spans="1:2">
      <c r="A990" s="1">
        <v>46254</v>
      </c>
      <c r="B990" s="6">
        <v>11.0165049080006</v>
      </c>
    </row>
    <row r="991" spans="1:2">
      <c r="A991" s="1">
        <v>46255</v>
      </c>
      <c r="B991" s="6">
        <v>11.7146998866292</v>
      </c>
    </row>
    <row r="992" spans="1:2">
      <c r="A992" s="1">
        <v>46258</v>
      </c>
      <c r="B992" s="6">
        <v>10.960753614578</v>
      </c>
    </row>
    <row r="993" spans="1:2">
      <c r="A993" s="1">
        <v>46259</v>
      </c>
      <c r="B993" s="6">
        <v>10.6798603343374</v>
      </c>
    </row>
    <row r="994" spans="1:2">
      <c r="A994" s="1">
        <v>46260</v>
      </c>
      <c r="B994" s="6">
        <v>9.73269922913523</v>
      </c>
    </row>
    <row r="995" spans="1:2">
      <c r="A995" s="1">
        <v>46261</v>
      </c>
      <c r="B995" s="6">
        <v>8.81355086834865</v>
      </c>
    </row>
    <row r="996" spans="1:2">
      <c r="A996" s="1">
        <v>46262</v>
      </c>
      <c r="B996" s="6">
        <v>7.79306332423676</v>
      </c>
    </row>
    <row r="997" spans="1:2">
      <c r="A997" s="1">
        <v>46265</v>
      </c>
      <c r="B997" s="6">
        <v>12.1876266742688</v>
      </c>
    </row>
    <row r="998" spans="1:2">
      <c r="A998" s="1">
        <v>46266</v>
      </c>
      <c r="B998" s="6">
        <v>10.7655689395681</v>
      </c>
    </row>
    <row r="999" spans="1:2">
      <c r="A999" s="1">
        <v>46267</v>
      </c>
      <c r="B999" s="6">
        <v>10.9941211015549</v>
      </c>
    </row>
    <row r="1000" spans="1:2">
      <c r="A1000" s="1">
        <v>46268</v>
      </c>
      <c r="B1000" s="6">
        <v>11.1558607586738</v>
      </c>
    </row>
    <row r="1001" spans="1:2">
      <c r="A1001" s="1">
        <v>46269</v>
      </c>
      <c r="B1001" s="6">
        <v>12.0753960171588</v>
      </c>
    </row>
    <row r="1002" spans="1:2">
      <c r="A1002" s="1">
        <v>46272</v>
      </c>
      <c r="B1002" s="6">
        <v>11.5720734402232</v>
      </c>
    </row>
    <row r="1003" spans="1:2">
      <c r="A1003" s="1">
        <v>46273</v>
      </c>
      <c r="B1003" s="6">
        <v>9.50400528314904</v>
      </c>
    </row>
    <row r="1004" spans="1:2">
      <c r="A1004" s="1">
        <v>46274</v>
      </c>
      <c r="B1004" s="6">
        <v>12.3377228683511</v>
      </c>
    </row>
    <row r="1005" spans="1:2">
      <c r="A1005" s="1">
        <v>46275</v>
      </c>
      <c r="B1005" s="6">
        <v>6.47288448671666</v>
      </c>
    </row>
    <row r="1006" spans="1:2">
      <c r="A1006" s="1">
        <v>46276</v>
      </c>
      <c r="B1006" s="6">
        <v>6.75469577159919</v>
      </c>
    </row>
    <row r="1007" spans="1:2">
      <c r="A1007" s="1">
        <v>46279</v>
      </c>
      <c r="B1007" s="6">
        <v>-1.13901443176056</v>
      </c>
    </row>
    <row r="1008" spans="1:2">
      <c r="A1008" s="1">
        <v>46280</v>
      </c>
      <c r="B1008" s="6">
        <v>-4.61894937379367</v>
      </c>
    </row>
    <row r="1009" spans="1:2">
      <c r="A1009" s="1">
        <v>46281</v>
      </c>
      <c r="B1009" s="6">
        <v>-6.12098154118582</v>
      </c>
    </row>
    <row r="1010" spans="1:2">
      <c r="A1010" s="1">
        <v>46282</v>
      </c>
      <c r="B1010" s="6">
        <v>-18.1778355015728</v>
      </c>
    </row>
    <row r="1011" spans="1:2">
      <c r="A1011" s="1">
        <v>46283</v>
      </c>
      <c r="B1011" s="6">
        <v>9.8532128517713</v>
      </c>
    </row>
    <row r="1012" spans="1:2">
      <c r="A1012" s="1">
        <v>46286</v>
      </c>
      <c r="B1012" s="6">
        <v>11.2248267627947</v>
      </c>
    </row>
    <row r="1013" spans="1:2">
      <c r="A1013" s="1">
        <v>46287</v>
      </c>
      <c r="B1013" s="6">
        <v>9.93454102789323</v>
      </c>
    </row>
    <row r="1014" spans="1:2">
      <c r="A1014" s="1">
        <v>46288</v>
      </c>
      <c r="B1014" s="6">
        <v>9.48804195047191</v>
      </c>
    </row>
    <row r="1015" spans="1:2">
      <c r="A1015" s="1">
        <v>46289</v>
      </c>
      <c r="B1015" s="6">
        <v>10.5645742922721</v>
      </c>
    </row>
    <row r="1016" spans="1:2">
      <c r="A1016" s="1">
        <v>46293</v>
      </c>
      <c r="B1016" s="6">
        <v>8.53567327651061</v>
      </c>
    </row>
    <row r="1017" spans="1:2">
      <c r="A1017" s="1">
        <v>46294</v>
      </c>
      <c r="B1017" s="6">
        <v>8.47838850134712</v>
      </c>
    </row>
    <row r="1018" spans="1:2">
      <c r="A1018" s="1">
        <v>46295</v>
      </c>
      <c r="B1018" s="6">
        <v>8.40280474316289</v>
      </c>
    </row>
    <row r="1019" spans="1:2">
      <c r="A1019" s="1">
        <v>46303</v>
      </c>
      <c r="B1019" s="6">
        <v>7.83822760281957</v>
      </c>
    </row>
    <row r="1020" spans="1:2">
      <c r="A1020" s="1">
        <v>46304</v>
      </c>
      <c r="B1020" s="6">
        <v>9.59794706562875</v>
      </c>
    </row>
    <row r="1021" spans="1:2">
      <c r="A1021" s="1">
        <v>46307</v>
      </c>
      <c r="B1021" s="6">
        <v>7.15464618439073</v>
      </c>
    </row>
    <row r="1022" spans="1:2">
      <c r="A1022" s="1">
        <v>46308</v>
      </c>
      <c r="B1022" s="6">
        <v>8.82063074822692</v>
      </c>
    </row>
    <row r="1023" spans="1:2">
      <c r="A1023" s="1">
        <v>46309</v>
      </c>
      <c r="B1023" s="6">
        <v>7.49534706309837</v>
      </c>
    </row>
    <row r="1024" spans="1:2">
      <c r="A1024" s="1">
        <v>46310</v>
      </c>
      <c r="B1024" s="6">
        <v>9.95938201718795</v>
      </c>
    </row>
    <row r="1025" spans="1:2">
      <c r="A1025" s="1">
        <v>46311</v>
      </c>
      <c r="B1025" s="6">
        <v>7.99887581798209</v>
      </c>
    </row>
    <row r="1026" spans="1:2">
      <c r="A1026" s="1">
        <v>46314</v>
      </c>
      <c r="B1026" s="6">
        <v>6.34510666096876</v>
      </c>
    </row>
    <row r="1027" spans="1:2">
      <c r="A1027" s="1">
        <v>46315</v>
      </c>
      <c r="B1027" s="6">
        <v>8.65700042435282</v>
      </c>
    </row>
    <row r="1028" spans="1:2">
      <c r="A1028" s="1">
        <v>46316</v>
      </c>
      <c r="B1028" s="6">
        <v>10.3806648605357</v>
      </c>
    </row>
    <row r="1029" spans="1:2">
      <c r="A1029" s="1">
        <v>46317</v>
      </c>
      <c r="B1029" s="6">
        <v>10.3806648605357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省司法厅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期权实时成本</vt:lpstr>
      <vt:lpstr>中证1000年化基差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Lauren</dc:creator>
  <cp:lastModifiedBy>17416</cp:lastModifiedBy>
  <dcterms:created xsi:type="dcterms:W3CDTF">2026-10-19T06:56:00Z</dcterms:created>
  <dcterms:modified xsi:type="dcterms:W3CDTF">2026-10-22T07:00:30Z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D36C4DC5DC544FB5B44D653202CB3F40_11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