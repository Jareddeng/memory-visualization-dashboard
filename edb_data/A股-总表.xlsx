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volatileDependencies.xml" ContentType="application/vnd.openxmlformats-officedocument.spreadsheetml.volatileDependenc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Codex\存储行业可视化看板网站制作\edb_data\"/>
    </mc:Choice>
  </mc:AlternateContent>
  <bookViews>
    <workbookView windowWidth="27948" windowHeight="12300" firstSheet="1"/>
  </bookViews>
  <sheets>
    <sheet name="期权实时成本" sheetId="1" r:id="rId1"/>
    <sheet name="中证1000年化基差" sheetId="2" r:id="rId2"/>
    <sheet name="A股拥挤度指标" sheetId="6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Lauren</author>
  </authors>
  <commentList>
    <comment ref="B7" authorId="0">
      <text>
        <r>
          <rPr>
            <sz val="9"/>
            <rFont val="宋体"/>
            <charset val="134"/>
          </rPr>
          <t>如需修改，请使用Excel插件-Wind-函数-编辑函数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<sst xmlns="http://schemas.openxmlformats.org/spreadsheetml/2006/main" count="32" uniqueCount="31">
  <si>
    <t>-8%至-5%虚值期权</t>
  </si>
  <si>
    <t>-11%至-8%虚值期权</t>
  </si>
  <si>
    <t>-13%至-11%虚值期权</t>
  </si>
  <si>
    <t>中证1000股指期货</t>
  </si>
  <si>
    <t>换月规则： 
11月、12月、1月：持有3月合约
2月、3月、4月：持有6月合约
5月、6月、7月：持有9月合约
8月、9月、10月：持有12月合约</t>
  </si>
  <si>
    <t>日期</t>
  </si>
  <si>
    <t>实时行情</t>
  </si>
  <si>
    <t>理论行权价</t>
  </si>
  <si>
    <t>-</t>
  </si>
  <si>
    <t>合约代码</t>
  </si>
  <si>
    <t>实际虚值</t>
  </si>
  <si>
    <t>最后交易日期</t>
  </si>
  <si>
    <t>剩余交易天数</t>
  </si>
  <si>
    <t>结算价</t>
  </si>
  <si>
    <t>当期对冲成本</t>
  </si>
  <si>
    <t>年化对冲成本</t>
  </si>
  <si>
    <t>delta</t>
  </si>
  <si>
    <t>开始日期</t>
  </si>
  <si>
    <t>截止日期</t>
  </si>
  <si>
    <t>当前日期</t>
  </si>
  <si>
    <t>证券代码</t>
  </si>
  <si>
    <t>IM.CFE</t>
  </si>
  <si>
    <t>证券简称</t>
  </si>
  <si>
    <t>基差年化收益率(股指期货)</t>
  </si>
  <si>
    <t>Date</t>
  </si>
  <si>
    <t>anal_basisannualyield_stkidx</t>
  </si>
  <si>
    <t>交易日期</t>
  </si>
  <si>
    <t>前5%拥挤度(%)</t>
  </si>
  <si>
    <t>前10%拥挤度(%)</t>
  </si>
  <si>
    <t>前5%拥挤度近3年分位</t>
  </si>
  <si>
    <t>前10%拥挤度近三年分位数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</si>
</sst>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\-mm\-dd"/>
    <numFmt numFmtId="178" formatCode="0.0000"/>
    <numFmt numFmtId="179" formatCode="###,###,##0.0000"/>
    <numFmt numFmtId="180" formatCode="yyyy&quot;年&quot;m&quot;月&quot;d&quot;日&quot;;@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C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176" fontId="0" fillId="0" borderId="0" xfId="0" applyNumberFormat="1" applyFont="1" applyFill="1" applyAlignment="1">
      <alignment vertical="center"/>
    </xf>
    <xf numFmtId="177" fontId="0" fillId="0" borderId="0" xfId="0" applyNumberFormat="1" applyAlignment="1">
      <alignment horizontal="right" vertical="center"/>
    </xf>
    <xf numFmtId="177" fontId="0" fillId="2" borderId="1" xfId="0" applyNumberFormat="1" applyFill="1" applyBorder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0" fontId="0" fillId="2" borderId="1" xfId="0" applyNumberFormat="1" applyFill="1" applyBorder="1" applyAlignment="1">
      <alignment horizontal="right" vertical="center"/>
    </xf>
    <xf numFmtId="0" fontId="0" fillId="3" borderId="0" xfId="0" applyNumberFormat="1" applyFill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1" fillId="0" borderId="2" xfId="0" applyNumberFormat="1" applyFont="1" applyBorder="1" applyAlignment="1">
      <alignment horizontal="right" vertical="center"/>
    </xf>
    <xf numFmtId="179" fontId="1" fillId="0" borderId="2" xfId="0" applyNumberFormat="1" applyFont="1" applyBorder="1" applyAlignment="1">
      <alignment horizontal="right" vertical="center"/>
    </xf>
    <xf numFmtId="10" fontId="1" fillId="0" borderId="2" xfId="3" applyNumberFormat="1" applyFont="1" applyBorder="1" applyAlignment="1">
      <alignment horizontal="right" vertical="center"/>
    </xf>
    <xf numFmtId="43" fontId="1" fillId="0" borderId="2" xfId="0" applyNumberFormat="1" applyFont="1" applyBorder="1" applyAlignment="1">
      <alignment horizontal="right" vertical="center"/>
    </xf>
    <xf numFmtId="10" fontId="2" fillId="0" borderId="2" xfId="3" applyNumberFormat="1" applyFont="1" applyBorder="1" applyAlignment="1">
      <alignment horizontal="right" vertical="center"/>
    </xf>
    <xf numFmtId="180" fontId="0" fillId="0" borderId="0" xfId="0" applyNumberFormat="1" applyAlignment="1">
      <alignment horizontal="right" vertical="center"/>
    </xf>
    <xf numFmtId="0" fontId="1" fillId="0" borderId="2" xfId="0" applyFont="1" applyBorder="1" applyAlignment="1" quotePrefix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WDF.RTQ">
      <tp t="n">
        <v>6734.55</v>
        <stp/>
        <stp>000852.SH</stp>
        <stp>LastPrice</stp>
        <tr r="E4" s="1"/>
        <tr r="F4" s="1"/>
        <tr r="C4" s="1"/>
        <tr r="D4" s="1"/>
      </tp>
    </main>
    <main first="WDF.RTQ">
      <tp t="n">
        <v>88</v>
        <stp/>
        <stp>MO2612-P-6000</stp>
        <stp>LastPrice</stp>
        <tr r="D10" s="1"/>
        <tr r="E10" s="1"/>
      </tp>
    </main>
    <main first="WDF.RTQ">
      <tp t="n">
        <v>-0.254</v>
        <stp/>
        <stp>MO2612-P-6200</stp>
        <stp>Delta</stp>
        <tr r="C13" s="1"/>
      </tp>
    </main>
    <main first="WDF.RTQ">
      <tp t="n">
        <v>-0.183</v>
        <stp/>
        <stp>MO2612-P-6000</stp>
        <stp>Delta</stp>
        <tr r="D13" s="1"/>
        <tr r="E13" s="1"/>
      </tp>
    </main>
    <main first="WDF.RTQ">
      <tp t="n">
        <v>129.6</v>
        <stp/>
        <stp>MO2612-P-6200</stp>
        <stp>LastPrice</stp>
        <tr r="C10" s="1"/>
      </tp>
    </main>
    <main first="WDF.RTQ">
      <tp t="n">
        <v>6660</v>
        <stp/>
        <stp>IM2612.CFE</stp>
        <stp>LastPrice</stp>
        <tr r="F10" s="1"/>
      </tp>
    </main>
  </volType>
</volType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volatileDependencies" Target="volatileDependenci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wind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info_name"/>
      <definedName name="s_info_ltdate_new"/>
      <definedName name="w_info_lasttradingdat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N22"/>
  <sheetViews>
    <sheetView tabSelected="1" workbookViewId="0">
      <selection activeCell="F23" sqref="F23"/>
    </sheetView>
  </sheetViews>
  <sheetFormatPr defaultColWidth="8.73148148148148" defaultRowHeight="14.4"/>
  <cols>
    <col min="2" max="2" width="21.2685185185185" customWidth="1"/>
    <col min="3" max="3" width="18.0925925925926" style="12" customWidth="1"/>
    <col min="4" max="4" width="22.5462962962963" style="12" customWidth="1"/>
    <col min="5" max="5" width="22.4537037037037" style="12" customWidth="1"/>
    <col min="6" max="6" width="20.5462962962963" style="12" customWidth="1"/>
  </cols>
  <sheetData>
    <row r="2" ht="15.6" spans="2:14">
      <c r="B2" s="13"/>
      <c r="C2" s="23" t="s">
        <v>0</v>
      </c>
      <c r="D2" s="23" t="s">
        <v>1</v>
      </c>
      <c r="E2" s="23" t="s">
        <v>2</v>
      </c>
      <c r="F2" s="14" t="s">
        <v>3</v>
      </c>
      <c r="H2" s="15" t="s">
        <v>4</v>
      </c>
      <c r="I2" s="16"/>
      <c r="J2" s="16"/>
      <c r="K2" s="16"/>
      <c r="L2" s="16"/>
      <c r="M2" s="16"/>
      <c r="N2" s="16"/>
    </row>
    <row r="3" ht="15.6" spans="2:14">
      <c r="B3" s="13" t="s">
        <v>5</v>
      </c>
      <c r="C3" s="17">
        <f ca="1" t="shared" ref="C3:F3" si="0">TODAY()</f>
        <v>46318</v>
      </c>
      <c r="D3" s="17">
        <f ca="1" t="shared" si="0"/>
        <v>46318</v>
      </c>
      <c r="E3" s="17">
        <f ca="1" t="shared" si="0"/>
        <v>46318</v>
      </c>
      <c r="F3" s="17">
        <f ca="1" t="shared" si="0"/>
        <v>46318</v>
      </c>
      <c r="H3" s="16"/>
      <c r="I3" s="16"/>
      <c r="J3" s="16"/>
      <c r="K3" s="16"/>
      <c r="L3" s="16"/>
      <c r="M3" s="16"/>
      <c r="N3" s="16"/>
    </row>
    <row r="4" ht="15.6" spans="2:14">
      <c r="B4" s="13" t="s">
        <v>6</v>
      </c>
      <c r="C4" s="18">
        <f t="shared" ref="C4:F4" si="1">RTD("WDF.RTQ",,"000852.SH","LastPrice")</f>
        <v>6734.55</v>
      </c>
      <c r="D4" s="14">
        <f t="shared" si="1"/>
        <v>6734.55</v>
      </c>
      <c r="E4" s="18">
        <f t="shared" si="1"/>
        <v>6734.55</v>
      </c>
      <c r="F4" s="14">
        <f t="shared" si="1"/>
        <v>6734.55</v>
      </c>
      <c r="H4" s="16"/>
      <c r="I4" s="16"/>
      <c r="J4" s="16"/>
      <c r="K4" s="16"/>
      <c r="L4" s="16"/>
      <c r="M4" s="16"/>
      <c r="N4" s="16"/>
    </row>
    <row r="5" ht="15.6" spans="2:14">
      <c r="B5" s="13" t="s">
        <v>7</v>
      </c>
      <c r="C5" s="14">
        <f>MAX(IF(C4*0.95&lt;=5000,FLOOR(C4*0.95,100),FLOOR(C4*0.95,200)),IF(C4&lt;=5000,MROUND(C4,100)-400,MROUND(C4,200)-800))</f>
        <v>6200</v>
      </c>
      <c r="D5" s="14">
        <f>MAX(IF(D4*0.92&lt;=5000,FLOOR(D4*0.92,100),FLOOR(D4*0.92,200)),IF(D4&lt;=5000,MROUND(D4,100)-400,MROUND(D4,200)-800))</f>
        <v>6000</v>
      </c>
      <c r="E5" s="14">
        <f>MAX(IF(E4*0.89&lt;=5000,FLOOR(E4*0.89,100),FLOOR(E4*0.89,200)),IF(E4&lt;=5000,MROUND(E4,100)-400,MROUND(E4,200)-800))</f>
        <v>6000</v>
      </c>
      <c r="F5" s="14" t="s">
        <v>8</v>
      </c>
      <c r="H5" s="16"/>
      <c r="I5" s="16"/>
      <c r="J5" s="16"/>
      <c r="K5" s="16"/>
      <c r="L5" s="16"/>
      <c r="M5" s="16"/>
      <c r="N5" s="16"/>
    </row>
    <row r="6" ht="15.6" spans="2:14">
      <c r="B6" s="13" t="s">
        <v>9</v>
      </c>
      <c r="C6" s="14" t="str">
        <f ca="1">"MO"&amp;TEXT(DATE(YEAR(C3)+IF(MONTH(C3)&gt;=11,1,0),CHOOSE(MONTH(C3),3,6,6,6,9,9,9,12,12,12,3,3),1),"yymm")&amp;"-P-"&amp;C5</f>
        <v>MO2612-P-6200</v>
      </c>
      <c r="D6" s="14" t="str">
        <f ca="1">"MO"&amp;TEXT(DATE(YEAR(D3)+IF(MONTH(D3)&gt;=11,1,0),CHOOSE(MONTH(D3),3,6,6,6,9,9,9,12,12,12,3,3),1),"yymm")&amp;"-P-"&amp;D5</f>
        <v>MO2612-P-6000</v>
      </c>
      <c r="E6" s="14" t="str">
        <f ca="1">"MO"&amp;TEXT(DATE(YEAR(E3)+IF(MONTH(E3)&gt;=11,1,0),CHOOSE(MONTH(E3),3,6,6,6,9,9,9,12,12,12,3,3),1),"yymm")&amp;"-P-"&amp;E5</f>
        <v>MO2612-P-6000</v>
      </c>
      <c r="F6" s="14" t="str">
        <f ca="1">"IM"&amp;TEXT(DATE(YEAR(F3)+IF(MONTH(F3)&gt;=11,1,0),CHOOSE(MONTH(F3),3,6,6,6,9,9,9,12,12,12,3,3),1),"yymm")&amp;".CFE"</f>
        <v>IM2612.CFE</v>
      </c>
      <c r="H6" s="16"/>
      <c r="I6" s="16"/>
      <c r="J6" s="16"/>
      <c r="K6" s="16"/>
      <c r="L6" s="16"/>
      <c r="M6" s="16"/>
      <c r="N6" s="16"/>
    </row>
    <row r="7" ht="15.6" spans="2:14">
      <c r="B7" s="13" t="s">
        <v>10</v>
      </c>
      <c r="C7" s="19">
        <f>(C5-C4)/C4</f>
        <v>-0.0793742714806483</v>
      </c>
      <c r="D7" s="19">
        <f>(D5-D4)/D4</f>
        <v>-0.109071875626434</v>
      </c>
      <c r="E7" s="19">
        <f>(E5-E4)/E4</f>
        <v>-0.109071875626434</v>
      </c>
      <c r="F7" s="19"/>
      <c r="H7" s="16"/>
      <c r="I7" s="16"/>
      <c r="J7" s="16"/>
      <c r="K7" s="16"/>
      <c r="L7" s="16"/>
      <c r="M7" s="16"/>
      <c r="N7" s="16"/>
    </row>
    <row r="8" ht="15.6" spans="2:14">
      <c r="B8" s="13" t="s">
        <v>11</v>
      </c>
      <c r="C8" s="14" t="str">
        <f ca="1">[1]!w_info_lasttradingdate(C6)</f>
        <v>2026-12-18</v>
      </c>
      <c r="D8" s="14" t="str">
        <f ca="1">[1]!w_info_lasttradingdate(D6)</f>
        <v>2026-12-18</v>
      </c>
      <c r="E8" s="14" t="str">
        <f ca="1">[1]!w_info_lasttradingdate(E6)</f>
        <v>2026-12-18</v>
      </c>
      <c r="F8" s="14" t="str">
        <f ca="1">[1]!s_info_ltdate_new(F6,F3)</f>
        <v>2026-12-18</v>
      </c>
      <c r="H8" s="16"/>
      <c r="I8" s="16"/>
      <c r="J8" s="16"/>
      <c r="K8" s="16"/>
      <c r="L8" s="16"/>
      <c r="M8" s="16"/>
      <c r="N8" s="16"/>
    </row>
    <row r="9" ht="15.6" spans="2:14">
      <c r="B9" s="13" t="s">
        <v>12</v>
      </c>
      <c r="C9" s="14">
        <f ca="1" t="shared" ref="C9:F9" si="2">C8-C3</f>
        <v>56</v>
      </c>
      <c r="D9" s="14">
        <f ca="1" t="shared" si="2"/>
        <v>56</v>
      </c>
      <c r="E9" s="14">
        <f ca="1" t="shared" si="2"/>
        <v>56</v>
      </c>
      <c r="F9" s="14">
        <f ca="1" t="shared" si="2"/>
        <v>56</v>
      </c>
      <c r="H9" s="16"/>
      <c r="I9" s="16"/>
      <c r="J9" s="16"/>
      <c r="K9" s="16"/>
      <c r="L9" s="16"/>
      <c r="M9" s="16"/>
      <c r="N9" s="16"/>
    </row>
    <row r="10" ht="15.6" spans="2:14">
      <c r="B10" s="13" t="s">
        <v>13</v>
      </c>
      <c r="C10" s="20">
        <f ca="1" t="shared" ref="C10:F10" si="3">RTD("WDF.RTQ",,C6,"LastPrice")</f>
        <v>129.6</v>
      </c>
      <c r="D10" s="20">
        <f ca="1" t="shared" si="3"/>
        <v>88</v>
      </c>
      <c r="E10" s="20">
        <f ca="1" t="shared" si="3"/>
        <v>88</v>
      </c>
      <c r="F10" s="20">
        <f ca="1" t="shared" si="3"/>
        <v>6660</v>
      </c>
      <c r="H10" s="16"/>
      <c r="I10" s="16"/>
      <c r="J10" s="16"/>
      <c r="K10" s="16"/>
      <c r="L10" s="16"/>
      <c r="M10" s="16"/>
      <c r="N10" s="16"/>
    </row>
    <row r="11" ht="15.6" spans="2:14">
      <c r="B11" s="13" t="s">
        <v>14</v>
      </c>
      <c r="C11" s="21">
        <f ca="1">C10/C4</f>
        <v>0.019244047486469</v>
      </c>
      <c r="D11" s="21">
        <f ca="1">D10/D4</f>
        <v>0.0130669458241456</v>
      </c>
      <c r="E11" s="21">
        <f ca="1">E10/E4</f>
        <v>0.0130669458241456</v>
      </c>
      <c r="F11" s="21">
        <f ca="1">(F10/F4-1)*-1</f>
        <v>0.0110697819453416</v>
      </c>
    </row>
    <row r="12" ht="15.6" spans="2:14">
      <c r="B12" s="13" t="s">
        <v>15</v>
      </c>
      <c r="C12" s="21">
        <f ca="1" t="shared" ref="C12:F12" si="4">C11*(365/C9)</f>
        <v>0.125429952367164</v>
      </c>
      <c r="D12" s="21">
        <f ca="1" t="shared" si="4"/>
        <v>0.085168486175235</v>
      </c>
      <c r="E12" s="21">
        <f ca="1" t="shared" si="4"/>
        <v>0.085168486175235</v>
      </c>
      <c r="F12" s="21">
        <f ca="1" t="shared" si="4"/>
        <v>0.0721512573223157</v>
      </c>
    </row>
    <row r="13" ht="15.6" spans="2:14">
      <c r="B13" s="13" t="s">
        <v>16</v>
      </c>
      <c r="C13" s="14">
        <f ca="1">RTD("WDF.RTQ",,C6,"Delta")</f>
        <v>-0.254</v>
      </c>
      <c r="D13" s="14">
        <f ca="1">RTD("WDF.RTQ",,D6,"Delta")</f>
        <v>-0.183</v>
      </c>
      <c r="E13" s="14">
        <f ca="1">RTD("WDF.RTQ",,E6,"Delta")</f>
        <v>-0.183</v>
      </c>
      <c r="F13" s="14"/>
    </row>
    <row r="22" spans="5:5">
      <c r="E22" s="22"/>
    </row>
  </sheetData>
  <mergeCells count="1">
    <mergeCell ref="H2:N10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030"/>
  <sheetViews>
    <sheetView topLeftCell="A992" workbookViewId="0">
      <selection activeCell="B59" sqref="B59"/>
    </sheetView>
  </sheetViews>
  <sheetFormatPr defaultColWidth="8.73148148148148" defaultRowHeight="14.4" outlineLevelCol="1"/>
  <cols>
    <col min="1" max="1" width="21" customWidth="1"/>
    <col min="2" max="2" width="20.9074074074074" customWidth="1"/>
  </cols>
  <sheetData>
    <row r="1" spans="1:2">
      <c r="A1" s="4" t="s">
        <v>17</v>
      </c>
      <c r="B1" s="5">
        <v>44774</v>
      </c>
    </row>
    <row r="2" spans="1:2">
      <c r="A2" s="4" t="s">
        <v>18</v>
      </c>
      <c r="B2" s="5" t="s">
        <v>19</v>
      </c>
    </row>
    <row r="3" spans="1:2">
      <c r="A3" s="6" t="s">
        <v>20</v>
      </c>
      <c r="B3" s="7" t="s">
        <v>21</v>
      </c>
    </row>
    <row r="4" spans="1:2">
      <c r="A4" s="6" t="s">
        <v>22</v>
      </c>
      <c r="B4" s="6" t="str" cm="1">
        <f t="array" ref="B4">[1]!s_info_name(B3)</f>
        <v>中证1000期货</v>
      </c>
    </row>
    <row r="5" spans="1:2">
      <c r="A5" s="8" t="s">
        <v>5</v>
      </c>
      <c r="B5" s="8" t="s">
        <v>23</v>
      </c>
    </row>
    <row r="6" spans="1:2">
      <c r="A6" s="6" t="s">
        <v>24</v>
      </c>
      <c r="B6" s="7" t="s">
        <v>25</v>
      </c>
    </row>
    <row r="7" spans="1:2">
      <c r="A7" s="4">
        <v>44774</v>
      </c>
      <c r="B7" s="9" cm="1">
        <f t="array" ref="B7">[1]!WSD(B3,B6:B6,B1,B2,"TradingCalendar=SSE","PriceAdj=F","rptType=1","Version=1","ShowParams=Y","cols=1;rows=1024")</f>
        <v>10.1791143839957</v>
      </c>
    </row>
    <row r="8" spans="1:2">
      <c r="A8" s="4">
        <v>44775</v>
      </c>
      <c r="B8" s="9">
        <v>2.51045185550547</v>
      </c>
    </row>
    <row r="9" spans="1:2">
      <c r="A9" s="4">
        <v>44776</v>
      </c>
      <c r="B9" s="9">
        <v>9.4171589577818</v>
      </c>
    </row>
    <row r="10" spans="1:2">
      <c r="A10" s="4">
        <v>44777</v>
      </c>
      <c r="B10" s="9">
        <v>20.8060003863621</v>
      </c>
    </row>
    <row r="11" spans="1:2">
      <c r="A11" s="4">
        <v>44778</v>
      </c>
      <c r="B11" s="9">
        <v>3.20640344620872</v>
      </c>
    </row>
    <row r="12" spans="1:2">
      <c r="A12" s="4">
        <v>44781</v>
      </c>
      <c r="B12" s="9">
        <v>15.2955537857932</v>
      </c>
    </row>
    <row r="13" spans="1:2">
      <c r="A13" s="4">
        <v>44782</v>
      </c>
      <c r="B13" s="9">
        <v>18.0355241842009</v>
      </c>
    </row>
    <row r="14" spans="1:2">
      <c r="A14" s="4">
        <v>44783</v>
      </c>
      <c r="B14" s="9">
        <v>18.9245114915055</v>
      </c>
    </row>
    <row r="15" spans="1:2">
      <c r="A15" s="4">
        <v>44784</v>
      </c>
      <c r="B15" s="9">
        <v>4.74247632371678</v>
      </c>
    </row>
    <row r="16" spans="1:2">
      <c r="A16" s="4">
        <v>44785</v>
      </c>
      <c r="B16" s="9">
        <v>3.70881594628676</v>
      </c>
    </row>
    <row r="17" spans="1:2">
      <c r="A17" s="4">
        <v>44788</v>
      </c>
      <c r="B17" s="9">
        <v>12.013455069678</v>
      </c>
    </row>
    <row r="18" spans="1:2">
      <c r="A18" s="4">
        <v>44789</v>
      </c>
      <c r="B18" s="9">
        <v>11.6215929733312</v>
      </c>
    </row>
    <row r="19" spans="1:2">
      <c r="A19" s="4">
        <v>44790</v>
      </c>
      <c r="B19" s="9">
        <v>1.22066201111692</v>
      </c>
    </row>
    <row r="20" spans="1:2">
      <c r="A20" s="4">
        <v>44791</v>
      </c>
      <c r="B20" s="9">
        <v>-12.5191505068005</v>
      </c>
    </row>
    <row r="21" spans="1:2">
      <c r="A21" s="4">
        <v>44792</v>
      </c>
      <c r="B21" s="9">
        <v>8.29460036327529</v>
      </c>
    </row>
    <row r="22" spans="1:2">
      <c r="A22" s="4">
        <v>44795</v>
      </c>
      <c r="B22" s="9">
        <v>10.1414285674612</v>
      </c>
    </row>
    <row r="23" spans="1:2">
      <c r="A23" s="4">
        <v>44796</v>
      </c>
      <c r="B23" s="9">
        <v>9.96531580624901</v>
      </c>
    </row>
    <row r="24" spans="1:2">
      <c r="A24" s="4">
        <v>44797</v>
      </c>
      <c r="B24" s="9">
        <v>14.5421397350987</v>
      </c>
    </row>
    <row r="25" spans="1:2">
      <c r="A25" s="4">
        <v>44798</v>
      </c>
      <c r="B25" s="9">
        <v>16.9038609948253</v>
      </c>
    </row>
    <row r="26" spans="1:2">
      <c r="A26" s="4">
        <v>44799</v>
      </c>
      <c r="B26" s="9">
        <v>16.3750068175172</v>
      </c>
    </row>
    <row r="27" spans="1:2">
      <c r="A27" s="4">
        <v>44802</v>
      </c>
      <c r="B27" s="9">
        <v>18.1373233888982</v>
      </c>
    </row>
    <row r="28" spans="1:2">
      <c r="A28" s="4">
        <v>44803</v>
      </c>
      <c r="B28" s="9">
        <v>9.84642518363993</v>
      </c>
    </row>
    <row r="29" spans="1:2">
      <c r="A29" s="4">
        <v>44804</v>
      </c>
      <c r="B29" s="9">
        <v>12.5118636942907</v>
      </c>
    </row>
    <row r="30" spans="1:2">
      <c r="A30" s="4">
        <v>44805</v>
      </c>
      <c r="B30" s="9">
        <v>11.6730906216235</v>
      </c>
    </row>
    <row r="31" spans="1:2">
      <c r="A31" s="4">
        <v>44806</v>
      </c>
      <c r="B31" s="9">
        <v>17.2008232525583</v>
      </c>
    </row>
    <row r="32" spans="1:2">
      <c r="A32" s="4">
        <v>44809</v>
      </c>
      <c r="B32" s="9">
        <v>17.9532979680838</v>
      </c>
    </row>
    <row r="33" spans="1:2">
      <c r="A33" s="4">
        <v>44810</v>
      </c>
      <c r="B33" s="9">
        <v>17.9951391735853</v>
      </c>
    </row>
    <row r="34" spans="1:2">
      <c r="A34" s="4">
        <v>44811</v>
      </c>
      <c r="B34" s="9">
        <v>22.2176235624951</v>
      </c>
    </row>
    <row r="35" spans="1:2">
      <c r="A35" s="4">
        <v>44812</v>
      </c>
      <c r="B35" s="9">
        <v>13.7132522584807</v>
      </c>
    </row>
    <row r="36" spans="1:2">
      <c r="A36" s="4">
        <v>44813</v>
      </c>
      <c r="B36" s="9">
        <v>0.418741146951328</v>
      </c>
    </row>
    <row r="37" spans="1:2">
      <c r="A37" s="4">
        <v>44817</v>
      </c>
      <c r="B37" s="9">
        <v>11.476460830575</v>
      </c>
    </row>
    <row r="38" spans="1:2">
      <c r="A38" s="4">
        <v>44818</v>
      </c>
      <c r="B38" s="9">
        <v>4.34130101842535</v>
      </c>
    </row>
    <row r="39" spans="1:2">
      <c r="A39" s="4">
        <v>44819</v>
      </c>
      <c r="B39" s="9">
        <v>43.0354849524769</v>
      </c>
    </row>
    <row r="40" spans="1:2">
      <c r="A40" s="4">
        <v>44820</v>
      </c>
      <c r="B40" s="9">
        <v>18.0087776532608</v>
      </c>
    </row>
    <row r="41" spans="1:2">
      <c r="A41" s="4">
        <v>44823</v>
      </c>
      <c r="B41" s="9">
        <v>19.8446392414616</v>
      </c>
    </row>
    <row r="42" spans="1:2">
      <c r="A42" s="4">
        <v>44824</v>
      </c>
      <c r="B42" s="9">
        <v>18.945056251061</v>
      </c>
    </row>
    <row r="43" spans="1:2">
      <c r="A43" s="4">
        <v>44825</v>
      </c>
      <c r="B43" s="9">
        <v>14.5738983070891</v>
      </c>
    </row>
    <row r="44" spans="1:2">
      <c r="A44" s="4">
        <v>44826</v>
      </c>
      <c r="B44" s="9">
        <v>11.6687264880652</v>
      </c>
    </row>
    <row r="45" spans="1:2">
      <c r="A45" s="4">
        <v>44827</v>
      </c>
      <c r="B45" s="9">
        <v>9.89096468264029</v>
      </c>
    </row>
    <row r="46" spans="1:2">
      <c r="A46" s="4">
        <v>44830</v>
      </c>
      <c r="B46" s="9">
        <v>7.58390469570811</v>
      </c>
    </row>
    <row r="47" spans="1:2">
      <c r="A47" s="4">
        <v>44831</v>
      </c>
      <c r="B47" s="9">
        <v>3.05782916594892</v>
      </c>
    </row>
    <row r="48" spans="1:2">
      <c r="A48" s="4">
        <v>44832</v>
      </c>
      <c r="B48" s="9">
        <v>2.63457839537105</v>
      </c>
    </row>
    <row r="49" spans="1:2">
      <c r="A49" s="4">
        <v>44833</v>
      </c>
      <c r="B49" s="9">
        <v>-1.21117909447448</v>
      </c>
    </row>
    <row r="50" spans="1:2">
      <c r="A50" s="4">
        <v>44834</v>
      </c>
      <c r="B50" s="9">
        <v>8.11294465142033</v>
      </c>
    </row>
    <row r="51" spans="1:2">
      <c r="A51" s="4">
        <v>44844</v>
      </c>
      <c r="B51" s="9">
        <v>3.55117339110382</v>
      </c>
    </row>
    <row r="52" spans="1:2">
      <c r="A52" s="4">
        <v>44845</v>
      </c>
      <c r="B52" s="9">
        <v>10.8565491881637</v>
      </c>
    </row>
    <row r="53" spans="1:2">
      <c r="A53" s="4">
        <v>44846</v>
      </c>
      <c r="B53" s="9">
        <v>11.8352942213754</v>
      </c>
    </row>
    <row r="54" spans="1:2">
      <c r="A54" s="4">
        <v>44847</v>
      </c>
      <c r="B54" s="9">
        <v>5.61086192035839</v>
      </c>
    </row>
    <row r="55" spans="1:2">
      <c r="A55" s="4">
        <v>44848</v>
      </c>
      <c r="B55" s="9">
        <v>-7.50720422866679</v>
      </c>
    </row>
    <row r="56" spans="1:2">
      <c r="A56" s="4">
        <v>44851</v>
      </c>
      <c r="B56" s="9">
        <v>18.8885938435288</v>
      </c>
    </row>
    <row r="57" spans="1:2">
      <c r="A57" s="4">
        <v>44852</v>
      </c>
      <c r="B57" s="9">
        <v>10.8548373283586</v>
      </c>
    </row>
    <row r="58" spans="1:2">
      <c r="A58" s="4">
        <v>44853</v>
      </c>
      <c r="B58" s="9">
        <v>-1.61710213790382</v>
      </c>
    </row>
    <row r="59" spans="1:2">
      <c r="A59" s="4">
        <v>44854</v>
      </c>
      <c r="B59" s="9">
        <v>-31.2918749823671</v>
      </c>
    </row>
    <row r="60" spans="1:2">
      <c r="A60" s="4">
        <v>44855</v>
      </c>
      <c r="B60" s="9">
        <v>10.165452603417</v>
      </c>
    </row>
    <row r="61" spans="1:2">
      <c r="A61" s="4">
        <v>44858</v>
      </c>
      <c r="B61" s="9">
        <v>3.61223164507061</v>
      </c>
    </row>
    <row r="62" spans="1:2">
      <c r="A62" s="4">
        <v>44859</v>
      </c>
      <c r="B62" s="9">
        <v>3.10086661495806</v>
      </c>
    </row>
    <row r="63" spans="1:2">
      <c r="A63" s="4">
        <v>44860</v>
      </c>
      <c r="B63" s="9">
        <v>-1.90594047594284</v>
      </c>
    </row>
    <row r="64" spans="1:2">
      <c r="A64" s="4">
        <v>44861</v>
      </c>
      <c r="B64" s="9">
        <v>-2.59227880297674</v>
      </c>
    </row>
    <row r="65" spans="1:2">
      <c r="A65" s="4">
        <v>44862</v>
      </c>
      <c r="B65" s="9">
        <v>3.93924590455448</v>
      </c>
    </row>
    <row r="66" spans="1:2">
      <c r="A66" s="4">
        <v>44865</v>
      </c>
      <c r="B66" s="9">
        <v>1.59422224258458</v>
      </c>
    </row>
    <row r="67" spans="1:2">
      <c r="A67" s="4">
        <v>44866</v>
      </c>
      <c r="B67" s="9">
        <v>-8.64534170231912</v>
      </c>
    </row>
    <row r="68" spans="1:2">
      <c r="A68" s="4">
        <v>44867</v>
      </c>
      <c r="B68" s="9">
        <v>-2.20658948077335</v>
      </c>
    </row>
    <row r="69" spans="1:2">
      <c r="A69" s="4">
        <v>44868</v>
      </c>
      <c r="B69" s="9">
        <v>1.09175396091891</v>
      </c>
    </row>
    <row r="70" spans="1:2">
      <c r="A70" s="4">
        <v>44869</v>
      </c>
      <c r="B70" s="9">
        <v>-12.5177338684298</v>
      </c>
    </row>
    <row r="71" spans="1:2">
      <c r="A71" s="4">
        <v>44872</v>
      </c>
      <c r="B71" s="9">
        <v>0.68424159034489</v>
      </c>
    </row>
    <row r="72" spans="1:2">
      <c r="A72" s="4">
        <v>44873</v>
      </c>
      <c r="B72" s="9">
        <v>-5.24598901284354</v>
      </c>
    </row>
    <row r="73" spans="1:2">
      <c r="A73" s="4">
        <v>44874</v>
      </c>
      <c r="B73" s="9">
        <v>0.56541087975618</v>
      </c>
    </row>
    <row r="74" spans="1:2">
      <c r="A74" s="4">
        <v>44875</v>
      </c>
      <c r="B74" s="9">
        <v>-6.86419964855611</v>
      </c>
    </row>
    <row r="75" spans="1:2">
      <c r="A75" s="4">
        <v>44876</v>
      </c>
      <c r="B75" s="9">
        <v>-0.952249179823715</v>
      </c>
    </row>
    <row r="76" spans="1:2">
      <c r="A76" s="4">
        <v>44879</v>
      </c>
      <c r="B76" s="9">
        <v>5.65596847294779</v>
      </c>
    </row>
    <row r="77" spans="1:2">
      <c r="A77" s="4">
        <v>44880</v>
      </c>
      <c r="B77" s="9">
        <v>-0.451035804789913</v>
      </c>
    </row>
    <row r="78" spans="1:2">
      <c r="A78" s="4">
        <v>44881</v>
      </c>
      <c r="B78" s="9">
        <v>4.77590831409958</v>
      </c>
    </row>
    <row r="79" spans="1:2">
      <c r="A79" s="4">
        <v>44882</v>
      </c>
      <c r="B79" s="9">
        <v>-1.29663347409085</v>
      </c>
    </row>
    <row r="80" spans="1:2">
      <c r="A80" s="4">
        <v>44883</v>
      </c>
      <c r="B80" s="9">
        <v>2.14560682010787</v>
      </c>
    </row>
    <row r="81" spans="1:2">
      <c r="A81" s="4">
        <v>44886</v>
      </c>
      <c r="B81" s="9">
        <v>0.808265359613041</v>
      </c>
    </row>
    <row r="82" spans="1:2">
      <c r="A82" s="4">
        <v>44887</v>
      </c>
      <c r="B82" s="9">
        <v>5.20325036128381</v>
      </c>
    </row>
    <row r="83" spans="1:2">
      <c r="A83" s="4">
        <v>44888</v>
      </c>
      <c r="B83" s="9">
        <v>3.08596703387552</v>
      </c>
    </row>
    <row r="84" spans="1:2">
      <c r="A84" s="4">
        <v>44889</v>
      </c>
      <c r="B84" s="9">
        <v>6.17486268057036</v>
      </c>
    </row>
    <row r="85" spans="1:2">
      <c r="A85" s="4">
        <v>44890</v>
      </c>
      <c r="B85" s="9">
        <v>3.63788080115147</v>
      </c>
    </row>
    <row r="86" spans="1:2">
      <c r="A86" s="4">
        <v>44893</v>
      </c>
      <c r="B86" s="9">
        <v>0.182769028822995</v>
      </c>
    </row>
    <row r="87" spans="1:2">
      <c r="A87" s="4">
        <v>44894</v>
      </c>
      <c r="B87" s="9">
        <v>-0.725055530723529</v>
      </c>
    </row>
    <row r="88" spans="1:2">
      <c r="A88" s="4">
        <v>44895</v>
      </c>
      <c r="B88" s="9">
        <v>2.19048402382568</v>
      </c>
    </row>
    <row r="89" spans="1:2">
      <c r="A89" s="4">
        <v>44896</v>
      </c>
      <c r="B89" s="9">
        <v>-1.11810075048024</v>
      </c>
    </row>
    <row r="90" spans="1:2">
      <c r="A90" s="4">
        <v>44897</v>
      </c>
      <c r="B90" s="9">
        <v>-0.428143028933669</v>
      </c>
    </row>
    <row r="91" spans="1:2">
      <c r="A91" s="4">
        <v>44900</v>
      </c>
      <c r="B91" s="9">
        <v>4.23234237866361</v>
      </c>
    </row>
    <row r="92" spans="1:2">
      <c r="A92" s="4">
        <v>44901</v>
      </c>
      <c r="B92" s="9">
        <v>2.38364495948256</v>
      </c>
    </row>
    <row r="93" spans="1:2">
      <c r="A93" s="4">
        <v>44902</v>
      </c>
      <c r="B93" s="9">
        <v>4.70118744949235</v>
      </c>
    </row>
    <row r="94" spans="1:2">
      <c r="A94" s="4">
        <v>44903</v>
      </c>
      <c r="B94" s="9">
        <v>-0.780452462241121</v>
      </c>
    </row>
    <row r="95" spans="1:2">
      <c r="A95" s="4">
        <v>44904</v>
      </c>
      <c r="B95" s="9">
        <v>-2.75982502699335</v>
      </c>
    </row>
    <row r="96" spans="1:2">
      <c r="A96" s="4">
        <v>44907</v>
      </c>
      <c r="B96" s="9">
        <v>0.806605047359756</v>
      </c>
    </row>
    <row r="97" spans="1:2">
      <c r="A97" s="4">
        <v>44908</v>
      </c>
      <c r="B97" s="9">
        <v>-10.5522647297583</v>
      </c>
    </row>
    <row r="98" spans="1:2">
      <c r="A98" s="4">
        <v>44909</v>
      </c>
      <c r="B98" s="9">
        <v>-4.54298582395201</v>
      </c>
    </row>
    <row r="99" spans="1:2">
      <c r="A99" s="4">
        <v>44910</v>
      </c>
      <c r="B99" s="9">
        <v>-5.7777125010261</v>
      </c>
    </row>
    <row r="100" spans="1:2">
      <c r="A100" s="4">
        <v>44911</v>
      </c>
      <c r="B100" s="9">
        <v>-1.89646770216833</v>
      </c>
    </row>
    <row r="101" spans="1:2">
      <c r="A101" s="4">
        <v>44914</v>
      </c>
      <c r="B101" s="9">
        <v>-4.27537161667001</v>
      </c>
    </row>
    <row r="102" spans="1:2">
      <c r="A102" s="4">
        <v>44915</v>
      </c>
      <c r="B102" s="9">
        <v>-1.51119509306402</v>
      </c>
    </row>
    <row r="103" spans="1:2">
      <c r="A103" s="4">
        <v>44916</v>
      </c>
      <c r="B103" s="9">
        <v>-2.36047378734434</v>
      </c>
    </row>
    <row r="104" spans="1:2">
      <c r="A104" s="4">
        <v>44917</v>
      </c>
      <c r="B104" s="9">
        <v>-3.66985362502601</v>
      </c>
    </row>
    <row r="105" spans="1:2">
      <c r="A105" s="4">
        <v>44918</v>
      </c>
      <c r="B105" s="9">
        <v>-0.90388823260999</v>
      </c>
    </row>
    <row r="106" spans="1:2">
      <c r="A106" s="4">
        <v>44921</v>
      </c>
      <c r="B106" s="9">
        <v>-2.02868347250445</v>
      </c>
    </row>
    <row r="107" spans="1:2">
      <c r="A107" s="4">
        <v>44922</v>
      </c>
      <c r="B107" s="9">
        <v>-2.32126714602062</v>
      </c>
    </row>
    <row r="108" spans="1:2">
      <c r="A108" s="4">
        <v>44923</v>
      </c>
      <c r="B108" s="9">
        <v>-5.84958781724072</v>
      </c>
    </row>
    <row r="109" spans="1:2">
      <c r="A109" s="4">
        <v>44924</v>
      </c>
      <c r="B109" s="9">
        <v>-1.83921896176911</v>
      </c>
    </row>
    <row r="110" spans="1:2">
      <c r="A110" s="4">
        <v>44925</v>
      </c>
      <c r="B110" s="9">
        <v>-1.10881678113799</v>
      </c>
    </row>
    <row r="111" spans="1:2">
      <c r="A111" s="4">
        <v>44929</v>
      </c>
      <c r="B111" s="9">
        <v>1.02891837229632</v>
      </c>
    </row>
    <row r="112" spans="1:2">
      <c r="A112" s="4">
        <v>44930</v>
      </c>
      <c r="B112" s="9">
        <v>2.05946943182256</v>
      </c>
    </row>
    <row r="113" spans="1:2">
      <c r="A113" s="4">
        <v>44931</v>
      </c>
      <c r="B113" s="9">
        <v>-1.58405408308083</v>
      </c>
    </row>
    <row r="114" spans="1:2">
      <c r="A114" s="4">
        <v>44932</v>
      </c>
      <c r="B114" s="9">
        <v>-1.70610473959662</v>
      </c>
    </row>
    <row r="115" spans="1:2">
      <c r="A115" s="4">
        <v>44935</v>
      </c>
      <c r="B115" s="9">
        <v>6.71281103147599</v>
      </c>
    </row>
    <row r="116" spans="1:2">
      <c r="A116" s="4">
        <v>44936</v>
      </c>
      <c r="B116" s="9">
        <v>3.39812876149672</v>
      </c>
    </row>
    <row r="117" spans="1:2">
      <c r="A117" s="4">
        <v>44937</v>
      </c>
      <c r="B117" s="9">
        <v>-3.61068766400405</v>
      </c>
    </row>
    <row r="118" spans="1:2">
      <c r="A118" s="4">
        <v>44938</v>
      </c>
      <c r="B118" s="9">
        <v>-1.33720059655981</v>
      </c>
    </row>
    <row r="119" spans="1:2">
      <c r="A119" s="4">
        <v>44939</v>
      </c>
      <c r="B119" s="9">
        <v>-15.9102094338677</v>
      </c>
    </row>
    <row r="120" spans="1:2">
      <c r="A120" s="4">
        <v>44942</v>
      </c>
      <c r="B120" s="9">
        <v>-4.24345038330617</v>
      </c>
    </row>
    <row r="121" spans="1:2">
      <c r="A121" s="4">
        <v>44943</v>
      </c>
      <c r="B121" s="9">
        <v>-10.1415391836772</v>
      </c>
    </row>
    <row r="122" spans="1:2">
      <c r="A122" s="4">
        <v>44944</v>
      </c>
      <c r="B122" s="9">
        <v>-10.3268735872216</v>
      </c>
    </row>
    <row r="123" spans="1:2">
      <c r="A123" s="4">
        <v>44945</v>
      </c>
      <c r="B123" s="9">
        <v>-21.1945098982707</v>
      </c>
    </row>
    <row r="124" spans="1:2">
      <c r="A124" s="4">
        <v>44946</v>
      </c>
      <c r="B124" s="9">
        <v>-9.45093286530079</v>
      </c>
    </row>
    <row r="125" spans="1:2">
      <c r="A125" s="4">
        <v>44956</v>
      </c>
      <c r="B125" s="9">
        <v>-1.55874259106089</v>
      </c>
    </row>
    <row r="126" spans="1:2">
      <c r="A126" s="4">
        <v>44957</v>
      </c>
      <c r="B126" s="9">
        <v>-3.33890119852647</v>
      </c>
    </row>
    <row r="127" spans="1:2">
      <c r="A127" s="4">
        <v>44958</v>
      </c>
      <c r="B127" s="9">
        <v>-1.63472316691065</v>
      </c>
    </row>
    <row r="128" spans="1:2">
      <c r="A128" s="4">
        <v>44959</v>
      </c>
      <c r="B128" s="9">
        <v>1.57024673233989</v>
      </c>
    </row>
    <row r="129" spans="1:2">
      <c r="A129" s="4">
        <v>44960</v>
      </c>
      <c r="B129" s="9">
        <v>1.66588260350698</v>
      </c>
    </row>
    <row r="130" spans="1:2">
      <c r="A130" s="4">
        <v>44963</v>
      </c>
      <c r="B130" s="9">
        <v>-0.793378658339301</v>
      </c>
    </row>
    <row r="131" spans="1:2">
      <c r="A131" s="4">
        <v>44964</v>
      </c>
      <c r="B131" s="9">
        <v>4.62191306909885</v>
      </c>
    </row>
    <row r="132" spans="1:2">
      <c r="A132" s="4">
        <v>44965</v>
      </c>
      <c r="B132" s="9">
        <v>5.41817085234579</v>
      </c>
    </row>
    <row r="133" spans="1:2">
      <c r="A133" s="4">
        <v>44966</v>
      </c>
      <c r="B133" s="9">
        <v>-11.0308296899843</v>
      </c>
    </row>
    <row r="134" spans="1:2">
      <c r="A134" s="4">
        <v>44967</v>
      </c>
      <c r="B134" s="9">
        <v>-1.31742847423661</v>
      </c>
    </row>
    <row r="135" spans="1:2">
      <c r="A135" s="4">
        <v>44970</v>
      </c>
      <c r="B135" s="9">
        <v>8.91682151011322</v>
      </c>
    </row>
    <row r="136" spans="1:2">
      <c r="A136" s="4">
        <v>44971</v>
      </c>
      <c r="B136" s="9">
        <v>5.17687658722669</v>
      </c>
    </row>
    <row r="137" spans="1:2">
      <c r="A137" s="4">
        <v>44972</v>
      </c>
      <c r="B137" s="9">
        <v>16.2863018610553</v>
      </c>
    </row>
    <row r="138" spans="1:2">
      <c r="A138" s="4">
        <v>44973</v>
      </c>
      <c r="B138" s="9">
        <v>2.62601410641345</v>
      </c>
    </row>
    <row r="139" spans="1:2">
      <c r="A139" s="4">
        <v>44974</v>
      </c>
      <c r="B139" s="9">
        <v>3.24940459774202</v>
      </c>
    </row>
    <row r="140" spans="1:2">
      <c r="A140" s="4">
        <v>44977</v>
      </c>
      <c r="B140" s="9">
        <v>6.71054794701042</v>
      </c>
    </row>
    <row r="141" spans="1:2">
      <c r="A141" s="4">
        <v>44978</v>
      </c>
      <c r="B141" s="9">
        <v>10.4042134041564</v>
      </c>
    </row>
    <row r="142" spans="1:2">
      <c r="A142" s="4">
        <v>44979</v>
      </c>
      <c r="B142" s="9">
        <v>6.03901336712857</v>
      </c>
    </row>
    <row r="143" spans="1:2">
      <c r="A143" s="4">
        <v>44980</v>
      </c>
      <c r="B143" s="9">
        <v>4.64105435555008</v>
      </c>
    </row>
    <row r="144" spans="1:2">
      <c r="A144" s="4">
        <v>44981</v>
      </c>
      <c r="B144" s="9">
        <v>3.6502004946416</v>
      </c>
    </row>
    <row r="145" spans="1:2">
      <c r="A145" s="4">
        <v>44984</v>
      </c>
      <c r="B145" s="9">
        <v>3.64936952203252</v>
      </c>
    </row>
    <row r="146" spans="1:2">
      <c r="A146" s="4">
        <v>44985</v>
      </c>
      <c r="B146" s="9">
        <v>4.66575973658164</v>
      </c>
    </row>
    <row r="147" spans="1:2">
      <c r="A147" s="4">
        <v>44986</v>
      </c>
      <c r="B147" s="9">
        <v>6.08855125497818</v>
      </c>
    </row>
    <row r="148" spans="1:2">
      <c r="A148" s="4">
        <v>44987</v>
      </c>
      <c r="B148" s="9">
        <v>3.19902521397189</v>
      </c>
    </row>
    <row r="149" spans="1:2">
      <c r="A149" s="4">
        <v>44988</v>
      </c>
      <c r="B149" s="9">
        <v>8.46082851668421</v>
      </c>
    </row>
    <row r="150" spans="1:2">
      <c r="A150" s="4">
        <v>44991</v>
      </c>
      <c r="B150" s="9">
        <v>14.5219887414178</v>
      </c>
    </row>
    <row r="151" spans="1:2">
      <c r="A151" s="4">
        <v>44992</v>
      </c>
      <c r="B151" s="9">
        <v>3.46181696722328</v>
      </c>
    </row>
    <row r="152" spans="1:2">
      <c r="A152" s="4">
        <v>44993</v>
      </c>
      <c r="B152" s="9">
        <v>9.27579798961495</v>
      </c>
    </row>
    <row r="153" spans="1:2">
      <c r="A153" s="4">
        <v>44994</v>
      </c>
      <c r="B153" s="9">
        <v>7.38678825368984</v>
      </c>
    </row>
    <row r="154" spans="1:2">
      <c r="A154" s="4">
        <v>44995</v>
      </c>
      <c r="B154" s="9">
        <v>-0.0620866119534652</v>
      </c>
    </row>
    <row r="155" spans="1:2">
      <c r="A155" s="4">
        <v>44998</v>
      </c>
      <c r="B155" s="9">
        <v>0.0153674556218842</v>
      </c>
    </row>
    <row r="156" spans="1:2">
      <c r="A156" s="4">
        <v>44999</v>
      </c>
      <c r="B156" s="9">
        <v>-5.49393708051762</v>
      </c>
    </row>
    <row r="157" spans="1:2">
      <c r="A157" s="4">
        <v>45000</v>
      </c>
      <c r="B157" s="9">
        <v>-4.56408998983243</v>
      </c>
    </row>
    <row r="158" spans="1:2">
      <c r="A158" s="4">
        <v>45001</v>
      </c>
      <c r="B158" s="9">
        <v>-30.3025542265014</v>
      </c>
    </row>
    <row r="159" spans="1:2">
      <c r="A159" s="4">
        <v>45002</v>
      </c>
      <c r="B159" s="9">
        <v>1.53898973915788</v>
      </c>
    </row>
    <row r="160" spans="1:2">
      <c r="A160" s="4">
        <v>45005</v>
      </c>
      <c r="B160" s="9">
        <v>0.256408415767693</v>
      </c>
    </row>
    <row r="161" spans="1:2">
      <c r="A161" s="4">
        <v>45006</v>
      </c>
      <c r="B161" s="9">
        <v>2.8718809079992</v>
      </c>
    </row>
    <row r="162" spans="1:2">
      <c r="A162" s="4">
        <v>45007</v>
      </c>
      <c r="B162" s="9">
        <v>2.44642107591569</v>
      </c>
    </row>
    <row r="163" spans="1:2">
      <c r="A163" s="4">
        <v>45008</v>
      </c>
      <c r="B163" s="9">
        <v>3.19498647599293</v>
      </c>
    </row>
    <row r="164" spans="1:2">
      <c r="A164" s="4">
        <v>45009</v>
      </c>
      <c r="B164" s="9">
        <v>1.99333437401238</v>
      </c>
    </row>
    <row r="165" spans="1:2">
      <c r="A165" s="4">
        <v>45012</v>
      </c>
      <c r="B165" s="9">
        <v>5.09929173978607</v>
      </c>
    </row>
    <row r="166" spans="1:2">
      <c r="A166" s="4">
        <v>45013</v>
      </c>
      <c r="B166" s="9">
        <v>-0.410416522993336</v>
      </c>
    </row>
    <row r="167" spans="1:2">
      <c r="A167" s="4">
        <v>45014</v>
      </c>
      <c r="B167" s="9">
        <v>0.0607354217182418</v>
      </c>
    </row>
    <row r="168" spans="1:2">
      <c r="A168" s="4">
        <v>45015</v>
      </c>
      <c r="B168" s="9">
        <v>-3.20306270101132</v>
      </c>
    </row>
    <row r="169" spans="1:2">
      <c r="A169" s="4">
        <v>45016</v>
      </c>
      <c r="B169" s="9">
        <v>0.486803372145475</v>
      </c>
    </row>
    <row r="170" spans="1:2">
      <c r="A170" s="4">
        <v>45019</v>
      </c>
      <c r="B170" s="9">
        <v>5.69524018762409</v>
      </c>
    </row>
    <row r="171" spans="1:2">
      <c r="A171" s="4">
        <v>45020</v>
      </c>
      <c r="B171" s="9">
        <v>0.874646010362824</v>
      </c>
    </row>
    <row r="172" spans="1:2">
      <c r="A172" s="4">
        <v>45022</v>
      </c>
      <c r="B172" s="9">
        <v>7.04878822957361</v>
      </c>
    </row>
    <row r="173" spans="1:2">
      <c r="A173" s="4">
        <v>45023</v>
      </c>
      <c r="B173" s="9">
        <v>5.38596018372346</v>
      </c>
    </row>
    <row r="174" spans="1:2">
      <c r="A174" s="4">
        <v>45026</v>
      </c>
      <c r="B174" s="9">
        <v>-0.870874199845012</v>
      </c>
    </row>
    <row r="175" spans="1:2">
      <c r="A175" s="4">
        <v>45027</v>
      </c>
      <c r="B175" s="9">
        <v>4.67006388986582</v>
      </c>
    </row>
    <row r="176" spans="1:2">
      <c r="A176" s="4">
        <v>45028</v>
      </c>
      <c r="B176" s="9">
        <v>8.37498945843514</v>
      </c>
    </row>
    <row r="177" spans="1:2">
      <c r="A177" s="4">
        <v>45029</v>
      </c>
      <c r="B177" s="9">
        <v>-0.0931968792133494</v>
      </c>
    </row>
    <row r="178" spans="1:2">
      <c r="A178" s="4">
        <v>45030</v>
      </c>
      <c r="B178" s="9">
        <v>9.43381202158491</v>
      </c>
    </row>
    <row r="179" spans="1:2">
      <c r="A179" s="4">
        <v>45033</v>
      </c>
      <c r="B179" s="9">
        <v>2.26230051935217</v>
      </c>
    </row>
    <row r="180" spans="1:2">
      <c r="A180" s="4">
        <v>45034</v>
      </c>
      <c r="B180" s="9">
        <v>15.0701439880958</v>
      </c>
    </row>
    <row r="181" spans="1:2">
      <c r="A181" s="4">
        <v>45035</v>
      </c>
      <c r="B181" s="9">
        <v>12.4130682646477</v>
      </c>
    </row>
    <row r="182" spans="1:2">
      <c r="A182" s="4">
        <v>45036</v>
      </c>
      <c r="B182" s="9">
        <v>14.5367567528917</v>
      </c>
    </row>
    <row r="183" spans="1:2">
      <c r="A183" s="4">
        <v>45037</v>
      </c>
      <c r="B183" s="9">
        <v>0.679136439261551</v>
      </c>
    </row>
    <row r="184" spans="1:2">
      <c r="A184" s="4">
        <v>45040</v>
      </c>
      <c r="B184" s="9">
        <v>0.671435917432696</v>
      </c>
    </row>
    <row r="185" spans="1:2">
      <c r="A185" s="4">
        <v>45041</v>
      </c>
      <c r="B185" s="9">
        <v>-2.07310669162667</v>
      </c>
    </row>
    <row r="186" spans="1:2">
      <c r="A186" s="4">
        <v>45042</v>
      </c>
      <c r="B186" s="9">
        <v>-1.15723681195346</v>
      </c>
    </row>
    <row r="187" spans="1:2">
      <c r="A187" s="4">
        <v>45043</v>
      </c>
      <c r="B187" s="9">
        <v>-3.7976654582063</v>
      </c>
    </row>
    <row r="188" spans="1:2">
      <c r="A188" s="4">
        <v>45044</v>
      </c>
      <c r="B188" s="9">
        <v>-4.31778862496956</v>
      </c>
    </row>
    <row r="189" spans="1:2">
      <c r="A189" s="4">
        <v>45050</v>
      </c>
      <c r="B189" s="9">
        <v>2.71304816641038</v>
      </c>
    </row>
    <row r="190" spans="1:2">
      <c r="A190" s="4">
        <v>45051</v>
      </c>
      <c r="B190" s="9">
        <v>1.24784490912852</v>
      </c>
    </row>
    <row r="191" spans="1:2">
      <c r="A191" s="4">
        <v>45054</v>
      </c>
      <c r="B191" s="9">
        <v>5.48299150291655</v>
      </c>
    </row>
    <row r="192" spans="1:2">
      <c r="A192" s="4">
        <v>45055</v>
      </c>
      <c r="B192" s="9">
        <v>-0.824850390087536</v>
      </c>
    </row>
    <row r="193" spans="1:2">
      <c r="A193" s="4">
        <v>45056</v>
      </c>
      <c r="B193" s="9">
        <v>1.37282292182617</v>
      </c>
    </row>
    <row r="194" spans="1:2">
      <c r="A194" s="4">
        <v>45057</v>
      </c>
      <c r="B194" s="9">
        <v>3.73244779631019</v>
      </c>
    </row>
    <row r="195" spans="1:2">
      <c r="A195" s="4">
        <v>45058</v>
      </c>
      <c r="B195" s="9">
        <v>-1.69326473768142</v>
      </c>
    </row>
    <row r="196" spans="1:2">
      <c r="A196" s="4">
        <v>45061</v>
      </c>
      <c r="B196" s="9">
        <v>6.61275338980513</v>
      </c>
    </row>
    <row r="197" spans="1:2">
      <c r="A197" s="4">
        <v>45062</v>
      </c>
      <c r="B197" s="9">
        <v>-2.79242543063543</v>
      </c>
    </row>
    <row r="198" spans="1:2">
      <c r="A198" s="4">
        <v>45063</v>
      </c>
      <c r="B198" s="9">
        <v>12.9420680782527</v>
      </c>
    </row>
    <row r="199" spans="1:2">
      <c r="A199" s="4">
        <v>45064</v>
      </c>
      <c r="B199" s="9">
        <v>9.75547599994069</v>
      </c>
    </row>
    <row r="200" spans="1:2">
      <c r="A200" s="4">
        <v>45065</v>
      </c>
      <c r="B200" s="9">
        <v>2.1127862944434</v>
      </c>
    </row>
    <row r="201" spans="1:2">
      <c r="A201" s="4">
        <v>45068</v>
      </c>
      <c r="B201" s="9">
        <v>3.37030815294235</v>
      </c>
    </row>
    <row r="202" spans="1:2">
      <c r="A202" s="4">
        <v>45069</v>
      </c>
      <c r="B202" s="9">
        <v>3.11456458969912</v>
      </c>
    </row>
    <row r="203" spans="1:2">
      <c r="A203" s="4">
        <v>45070</v>
      </c>
      <c r="B203" s="9">
        <v>3.45063048576297</v>
      </c>
    </row>
    <row r="204" spans="1:2">
      <c r="A204" s="4">
        <v>45071</v>
      </c>
      <c r="B204" s="9">
        <v>5.47429346339207</v>
      </c>
    </row>
    <row r="205" spans="1:2">
      <c r="A205" s="4">
        <v>45072</v>
      </c>
      <c r="B205" s="9">
        <v>2.53199433802499</v>
      </c>
    </row>
    <row r="206" spans="1:2">
      <c r="A206" s="4">
        <v>45075</v>
      </c>
      <c r="B206" s="9">
        <v>2.22335589583261</v>
      </c>
    </row>
    <row r="207" spans="1:2">
      <c r="A207" s="4">
        <v>45076</v>
      </c>
      <c r="B207" s="9">
        <v>1.75963541490193</v>
      </c>
    </row>
    <row r="208" spans="1:2">
      <c r="A208" s="4">
        <v>45077</v>
      </c>
      <c r="B208" s="9">
        <v>4.29321626485069</v>
      </c>
    </row>
    <row r="209" spans="1:2">
      <c r="A209" s="4">
        <v>45078</v>
      </c>
      <c r="B209" s="9">
        <v>2.26801770861723</v>
      </c>
    </row>
    <row r="210" spans="1:2">
      <c r="A210" s="4">
        <v>45079</v>
      </c>
      <c r="B210" s="9">
        <v>4.76045288840258</v>
      </c>
    </row>
    <row r="211" spans="1:2">
      <c r="A211" s="4">
        <v>45082</v>
      </c>
      <c r="B211" s="9">
        <v>7.97367013884431</v>
      </c>
    </row>
    <row r="212" spans="1:2">
      <c r="A212" s="4">
        <v>45083</v>
      </c>
      <c r="B212" s="9">
        <v>9.42130628667128</v>
      </c>
    </row>
    <row r="213" spans="1:2">
      <c r="A213" s="4">
        <v>45084</v>
      </c>
      <c r="B213" s="9">
        <v>8.55226694919867</v>
      </c>
    </row>
    <row r="214" spans="1:2">
      <c r="A214" s="4">
        <v>45085</v>
      </c>
      <c r="B214" s="9">
        <v>2.26282580409186</v>
      </c>
    </row>
    <row r="215" spans="1:2">
      <c r="A215" s="4">
        <v>45086</v>
      </c>
      <c r="B215" s="9">
        <v>7.41781890047561</v>
      </c>
    </row>
    <row r="216" spans="1:2">
      <c r="A216" s="4">
        <v>45089</v>
      </c>
      <c r="B216" s="9">
        <v>12.9863574871346</v>
      </c>
    </row>
    <row r="217" spans="1:2">
      <c r="A217" s="4">
        <v>45090</v>
      </c>
      <c r="B217" s="9">
        <v>14.2608684203815</v>
      </c>
    </row>
    <row r="218" spans="1:2">
      <c r="A218" s="4">
        <v>45091</v>
      </c>
      <c r="B218" s="9">
        <v>14.5973762200564</v>
      </c>
    </row>
    <row r="219" spans="1:2">
      <c r="A219" s="4">
        <v>45092</v>
      </c>
      <c r="B219" s="9">
        <v>12.7663782527454</v>
      </c>
    </row>
    <row r="220" spans="1:2">
      <c r="A220" s="4">
        <v>45093</v>
      </c>
      <c r="B220" s="9">
        <v>5.68630231916701</v>
      </c>
    </row>
    <row r="221" spans="1:2">
      <c r="A221" s="4">
        <v>45096</v>
      </c>
      <c r="B221" s="9">
        <v>7.3887980773918</v>
      </c>
    </row>
    <row r="222" spans="1:2">
      <c r="A222" s="4">
        <v>45097</v>
      </c>
      <c r="B222" s="9">
        <v>7.08151661714762</v>
      </c>
    </row>
    <row r="223" spans="1:2">
      <c r="A223" s="4">
        <v>45098</v>
      </c>
      <c r="B223" s="9">
        <v>4.21887436890453</v>
      </c>
    </row>
    <row r="224" spans="1:2">
      <c r="A224" s="4">
        <v>45103</v>
      </c>
      <c r="B224" s="9">
        <v>-1.21231633973951</v>
      </c>
    </row>
    <row r="225" spans="1:2">
      <c r="A225" s="4">
        <v>45104</v>
      </c>
      <c r="B225" s="9">
        <v>5.83816407939584</v>
      </c>
    </row>
    <row r="226" spans="1:2">
      <c r="A226" s="4">
        <v>45105</v>
      </c>
      <c r="B226" s="9">
        <v>2.68211599798868</v>
      </c>
    </row>
    <row r="227" spans="1:2">
      <c r="A227" s="4">
        <v>45106</v>
      </c>
      <c r="B227" s="9">
        <v>6.36934540455016</v>
      </c>
    </row>
    <row r="228" spans="1:2">
      <c r="A228" s="4">
        <v>45107</v>
      </c>
      <c r="B228" s="9">
        <v>6.3988771526461</v>
      </c>
    </row>
    <row r="229" spans="1:2">
      <c r="A229" s="4">
        <v>45110</v>
      </c>
      <c r="B229" s="9">
        <v>7.38064214963936</v>
      </c>
    </row>
    <row r="230" spans="1:2">
      <c r="A230" s="4">
        <v>45111</v>
      </c>
      <c r="B230" s="9">
        <v>6.7375643146596</v>
      </c>
    </row>
    <row r="231" spans="1:2">
      <c r="A231" s="4">
        <v>45112</v>
      </c>
      <c r="B231" s="9">
        <v>5.32235160471096</v>
      </c>
    </row>
    <row r="232" spans="1:2">
      <c r="A232" s="4">
        <v>45113</v>
      </c>
      <c r="B232" s="9">
        <v>9.98633375132234</v>
      </c>
    </row>
    <row r="233" spans="1:2">
      <c r="A233" s="4">
        <v>45114</v>
      </c>
      <c r="B233" s="9">
        <v>2.93664834889045</v>
      </c>
    </row>
    <row r="234" spans="1:2">
      <c r="A234" s="4">
        <v>45117</v>
      </c>
      <c r="B234" s="9">
        <v>2.47129094502666</v>
      </c>
    </row>
    <row r="235" spans="1:2">
      <c r="A235" s="4">
        <v>45118</v>
      </c>
      <c r="B235" s="9">
        <v>3.53356216140628</v>
      </c>
    </row>
    <row r="236" spans="1:2">
      <c r="A236" s="4">
        <v>45119</v>
      </c>
      <c r="B236" s="9">
        <v>-0.392035741797738</v>
      </c>
    </row>
    <row r="237" spans="1:2">
      <c r="A237" s="4">
        <v>45120</v>
      </c>
      <c r="B237" s="9">
        <v>-0.701980156489983</v>
      </c>
    </row>
    <row r="238" spans="1:2">
      <c r="A238" s="4">
        <v>45121</v>
      </c>
      <c r="B238" s="9">
        <v>2.20243557783327</v>
      </c>
    </row>
    <row r="239" spans="1:2">
      <c r="A239" s="4">
        <v>45124</v>
      </c>
      <c r="B239" s="9">
        <v>1.35040573554162</v>
      </c>
    </row>
    <row r="240" spans="1:2">
      <c r="A240" s="4">
        <v>45125</v>
      </c>
      <c r="B240" s="9">
        <v>-4.76754415157379</v>
      </c>
    </row>
    <row r="241" spans="1:2">
      <c r="A241" s="4">
        <v>45126</v>
      </c>
      <c r="B241" s="9">
        <v>-11.1044815979571</v>
      </c>
    </row>
    <row r="242" spans="1:2">
      <c r="A242" s="4">
        <v>45127</v>
      </c>
      <c r="B242" s="9">
        <v>-14.511778082243</v>
      </c>
    </row>
    <row r="243" spans="1:2">
      <c r="A243" s="4">
        <v>45128</v>
      </c>
      <c r="B243" s="9">
        <v>-1.03831181038965</v>
      </c>
    </row>
    <row r="244" spans="1:2">
      <c r="A244" s="4">
        <v>45131</v>
      </c>
      <c r="B244" s="9">
        <v>0.03788830349831</v>
      </c>
    </row>
    <row r="245" spans="1:2">
      <c r="A245" s="4">
        <v>45132</v>
      </c>
      <c r="B245" s="9">
        <v>0.13542068312091</v>
      </c>
    </row>
    <row r="246" spans="1:2">
      <c r="A246" s="4">
        <v>45133</v>
      </c>
      <c r="B246" s="9">
        <v>-2.39749763579822</v>
      </c>
    </row>
    <row r="247" spans="1:2">
      <c r="A247" s="4">
        <v>45134</v>
      </c>
      <c r="B247" s="9">
        <v>-3.08778848408506</v>
      </c>
    </row>
    <row r="248" spans="1:2">
      <c r="A248" s="4">
        <v>45135</v>
      </c>
      <c r="B248" s="9">
        <v>-1.98743749068414</v>
      </c>
    </row>
    <row r="249" spans="1:2">
      <c r="A249" s="4">
        <v>45138</v>
      </c>
      <c r="B249" s="9">
        <v>-2.23849072654433</v>
      </c>
    </row>
    <row r="250" spans="1:2">
      <c r="A250" s="4">
        <v>45139</v>
      </c>
      <c r="B250" s="9">
        <v>-0.435657036274466</v>
      </c>
    </row>
    <row r="251" spans="1:2">
      <c r="A251" s="4">
        <v>45140</v>
      </c>
      <c r="B251" s="9">
        <v>0.065779900245414</v>
      </c>
    </row>
    <row r="252" spans="1:2">
      <c r="A252" s="4">
        <v>45141</v>
      </c>
      <c r="B252" s="9">
        <v>1.26444752459155</v>
      </c>
    </row>
    <row r="253" spans="1:2">
      <c r="A253" s="4">
        <v>45142</v>
      </c>
      <c r="B253" s="9">
        <v>0.251083128101191</v>
      </c>
    </row>
    <row r="254" spans="1:2">
      <c r="A254" s="4">
        <v>45145</v>
      </c>
      <c r="B254" s="9">
        <v>-4.4655332329078</v>
      </c>
    </row>
    <row r="255" spans="1:2">
      <c r="A255" s="4">
        <v>45146</v>
      </c>
      <c r="B255" s="9">
        <v>-5.77571897837292</v>
      </c>
    </row>
    <row r="256" spans="1:2">
      <c r="A256" s="4">
        <v>45147</v>
      </c>
      <c r="B256" s="9">
        <v>-5.9488612386823</v>
      </c>
    </row>
    <row r="257" spans="1:2">
      <c r="A257" s="4">
        <v>45148</v>
      </c>
      <c r="B257" s="9">
        <v>1.23044744981971</v>
      </c>
    </row>
    <row r="258" spans="1:2">
      <c r="A258" s="4">
        <v>45149</v>
      </c>
      <c r="B258" s="9">
        <v>0.419929120722904</v>
      </c>
    </row>
    <row r="259" spans="1:2">
      <c r="A259" s="4">
        <v>45152</v>
      </c>
      <c r="B259" s="9">
        <v>-3.00083522073341</v>
      </c>
    </row>
    <row r="260" spans="1:2">
      <c r="A260" s="4">
        <v>45153</v>
      </c>
      <c r="B260" s="9">
        <v>-6.4545826312979</v>
      </c>
    </row>
    <row r="261" spans="1:2">
      <c r="A261" s="4">
        <v>45154</v>
      </c>
      <c r="B261" s="9">
        <v>-2.95958199985153</v>
      </c>
    </row>
    <row r="262" spans="1:2">
      <c r="A262" s="4">
        <v>45155</v>
      </c>
      <c r="B262" s="9">
        <v>7.60511902720485</v>
      </c>
    </row>
    <row r="263" spans="1:2">
      <c r="A263" s="4">
        <v>45156</v>
      </c>
      <c r="B263" s="9">
        <v>-2.00308649772848</v>
      </c>
    </row>
    <row r="264" spans="1:2">
      <c r="A264" s="4">
        <v>45159</v>
      </c>
      <c r="B264" s="9">
        <v>0.69562179095224</v>
      </c>
    </row>
    <row r="265" spans="1:2">
      <c r="A265" s="4">
        <v>45160</v>
      </c>
      <c r="B265" s="9">
        <v>3.27799956393213</v>
      </c>
    </row>
    <row r="266" spans="1:2">
      <c r="A266" s="4">
        <v>45161</v>
      </c>
      <c r="B266" s="9">
        <v>-0.262471207473662</v>
      </c>
    </row>
    <row r="267" spans="1:2">
      <c r="A267" s="4">
        <v>45162</v>
      </c>
      <c r="B267" s="9">
        <v>2.54586583487101</v>
      </c>
    </row>
    <row r="268" spans="1:2">
      <c r="A268" s="4">
        <v>45163</v>
      </c>
      <c r="B268" s="9">
        <v>-0.737048009374757</v>
      </c>
    </row>
    <row r="269" spans="1:2">
      <c r="A269" s="4">
        <v>45166</v>
      </c>
      <c r="B269" s="9">
        <v>4.09808128001618</v>
      </c>
    </row>
    <row r="270" spans="1:2">
      <c r="A270" s="4">
        <v>45167</v>
      </c>
      <c r="B270" s="9">
        <v>2.79426059616042</v>
      </c>
    </row>
    <row r="271" spans="1:2">
      <c r="A271" s="4">
        <v>45168</v>
      </c>
      <c r="B271" s="9">
        <v>3.57905134156604</v>
      </c>
    </row>
    <row r="272" spans="1:2">
      <c r="A272" s="4">
        <v>45169</v>
      </c>
      <c r="B272" s="9">
        <v>-2.15172940055307</v>
      </c>
    </row>
    <row r="273" spans="1:2">
      <c r="A273" s="4">
        <v>45170</v>
      </c>
      <c r="B273" s="9">
        <v>1.562835027456</v>
      </c>
    </row>
    <row r="274" spans="1:2">
      <c r="A274" s="4">
        <v>45173</v>
      </c>
      <c r="B274" s="9">
        <v>0.307440406288979</v>
      </c>
    </row>
    <row r="275" spans="1:2">
      <c r="A275" s="4">
        <v>45174</v>
      </c>
      <c r="B275" s="9">
        <v>2.45100869981496</v>
      </c>
    </row>
    <row r="276" spans="1:2">
      <c r="A276" s="4">
        <v>45175</v>
      </c>
      <c r="B276" s="9">
        <v>8.36449524959142</v>
      </c>
    </row>
    <row r="277" spans="1:2">
      <c r="A277" s="4">
        <v>45176</v>
      </c>
      <c r="B277" s="9">
        <v>3.6922536732804</v>
      </c>
    </row>
    <row r="278" spans="1:2">
      <c r="A278" s="4">
        <v>45177</v>
      </c>
      <c r="B278" s="9">
        <v>18.4953925543238</v>
      </c>
    </row>
    <row r="279" spans="1:2">
      <c r="A279" s="4">
        <v>45180</v>
      </c>
      <c r="B279" s="9">
        <v>14.2684117002187</v>
      </c>
    </row>
    <row r="280" spans="1:2">
      <c r="A280" s="4">
        <v>45181</v>
      </c>
      <c r="B280" s="9">
        <v>12.5371769842735</v>
      </c>
    </row>
    <row r="281" spans="1:2">
      <c r="A281" s="4">
        <v>45182</v>
      </c>
      <c r="B281" s="9">
        <v>12.4758245909709</v>
      </c>
    </row>
    <row r="282" spans="1:2">
      <c r="A282" s="4">
        <v>45183</v>
      </c>
      <c r="B282" s="9">
        <v>-17.4808477929198</v>
      </c>
    </row>
    <row r="283" spans="1:2">
      <c r="A283" s="4">
        <v>45184</v>
      </c>
      <c r="B283" s="9">
        <v>2.39823135906861</v>
      </c>
    </row>
    <row r="284" spans="1:2">
      <c r="A284" s="4">
        <v>45187</v>
      </c>
      <c r="B284" s="9">
        <v>0.079847457755561</v>
      </c>
    </row>
    <row r="285" spans="1:2">
      <c r="A285" s="4">
        <v>45188</v>
      </c>
      <c r="B285" s="9">
        <v>-1.87879836728559</v>
      </c>
    </row>
    <row r="286" spans="1:2">
      <c r="A286" s="4">
        <v>45189</v>
      </c>
      <c r="B286" s="9">
        <v>-1.14111136642636</v>
      </c>
    </row>
    <row r="287" spans="1:2">
      <c r="A287" s="4">
        <v>45190</v>
      </c>
      <c r="B287" s="9">
        <v>-0.561953102463454</v>
      </c>
    </row>
    <row r="288" spans="1:2">
      <c r="A288" s="4">
        <v>45191</v>
      </c>
      <c r="B288" s="9">
        <v>-2.77242497525592</v>
      </c>
    </row>
    <row r="289" spans="1:2">
      <c r="A289" s="4">
        <v>45194</v>
      </c>
      <c r="B289" s="9">
        <v>-1.18690246710415</v>
      </c>
    </row>
    <row r="290" spans="1:2">
      <c r="A290" s="4">
        <v>45195</v>
      </c>
      <c r="B290" s="9">
        <v>-3.55666464149064</v>
      </c>
    </row>
    <row r="291" spans="1:2">
      <c r="A291" s="4">
        <v>45196</v>
      </c>
      <c r="B291" s="9">
        <v>-5.57236016001726</v>
      </c>
    </row>
    <row r="292" spans="1:2">
      <c r="A292" s="4">
        <v>45197</v>
      </c>
      <c r="B292" s="9">
        <v>1.47487466421727</v>
      </c>
    </row>
    <row r="293" spans="1:2">
      <c r="A293" s="4">
        <v>45208</v>
      </c>
      <c r="B293" s="9">
        <v>2.04832037729077</v>
      </c>
    </row>
    <row r="294" spans="1:2">
      <c r="A294" s="4">
        <v>45209</v>
      </c>
      <c r="B294" s="9">
        <v>4.44997356049417</v>
      </c>
    </row>
    <row r="295" spans="1:2">
      <c r="A295" s="4">
        <v>45210</v>
      </c>
      <c r="B295" s="9">
        <v>9.79954472070464</v>
      </c>
    </row>
    <row r="296" spans="1:2">
      <c r="A296" s="4">
        <v>45211</v>
      </c>
      <c r="B296" s="9">
        <v>6.70224714028897</v>
      </c>
    </row>
    <row r="297" spans="1:2">
      <c r="A297" s="4">
        <v>45212</v>
      </c>
      <c r="B297" s="9">
        <v>-1.59915290030476</v>
      </c>
    </row>
    <row r="298" spans="1:2">
      <c r="A298" s="4">
        <v>45215</v>
      </c>
      <c r="B298" s="9">
        <v>9.09590486915558</v>
      </c>
    </row>
    <row r="299" spans="1:2">
      <c r="A299" s="4">
        <v>45216</v>
      </c>
      <c r="B299" s="9">
        <v>4.95914425361092</v>
      </c>
    </row>
    <row r="300" spans="1:2">
      <c r="A300" s="4">
        <v>45217</v>
      </c>
      <c r="B300" s="9">
        <v>4.80661188034638</v>
      </c>
    </row>
    <row r="301" spans="1:2">
      <c r="A301" s="4">
        <v>45218</v>
      </c>
      <c r="B301" s="9">
        <v>-4.93869345340422</v>
      </c>
    </row>
    <row r="302" spans="1:2">
      <c r="A302" s="4">
        <v>45219</v>
      </c>
      <c r="B302" s="9">
        <v>1.67407879484797</v>
      </c>
    </row>
    <row r="303" spans="1:2">
      <c r="A303" s="4">
        <v>45222</v>
      </c>
      <c r="B303" s="9">
        <v>8.01155708157598</v>
      </c>
    </row>
    <row r="304" spans="1:2">
      <c r="A304" s="4">
        <v>45223</v>
      </c>
      <c r="B304" s="9">
        <v>10.1508845112947</v>
      </c>
    </row>
    <row r="305" spans="1:2">
      <c r="A305" s="4">
        <v>45224</v>
      </c>
      <c r="B305" s="9">
        <v>9.44642659626437</v>
      </c>
    </row>
    <row r="306" spans="1:2">
      <c r="A306" s="4">
        <v>45225</v>
      </c>
      <c r="B306" s="9">
        <v>7.81682390141849</v>
      </c>
    </row>
    <row r="307" spans="1:2">
      <c r="A307" s="4">
        <v>45226</v>
      </c>
      <c r="B307" s="9">
        <v>2.55588405913489</v>
      </c>
    </row>
    <row r="308" spans="1:2">
      <c r="A308" s="4">
        <v>45229</v>
      </c>
      <c r="B308" s="9">
        <v>8.75684383093819</v>
      </c>
    </row>
    <row r="309" spans="1:2">
      <c r="A309" s="4">
        <v>45230</v>
      </c>
      <c r="B309" s="9">
        <v>7.28164213744274</v>
      </c>
    </row>
    <row r="310" spans="1:2">
      <c r="A310" s="4">
        <v>45231</v>
      </c>
      <c r="B310" s="9">
        <v>7.17078591929877</v>
      </c>
    </row>
    <row r="311" spans="1:2">
      <c r="A311" s="4">
        <v>45232</v>
      </c>
      <c r="B311" s="9">
        <v>2.77770848964236</v>
      </c>
    </row>
    <row r="312" spans="1:2">
      <c r="A312" s="4">
        <v>45233</v>
      </c>
      <c r="B312" s="9">
        <v>5.7708841131439</v>
      </c>
    </row>
    <row r="313" spans="1:2">
      <c r="A313" s="4">
        <v>45236</v>
      </c>
      <c r="B313" s="9">
        <v>4.41621308507982</v>
      </c>
    </row>
    <row r="314" spans="1:2">
      <c r="A314" s="4">
        <v>45237</v>
      </c>
      <c r="B314" s="9">
        <v>8.51799423318603</v>
      </c>
    </row>
    <row r="315" spans="1:2">
      <c r="A315" s="4">
        <v>45238</v>
      </c>
      <c r="B315" s="9">
        <v>14.4251850772162</v>
      </c>
    </row>
    <row r="316" spans="1:2">
      <c r="A316" s="4">
        <v>45239</v>
      </c>
      <c r="B316" s="9">
        <v>16.6801310623024</v>
      </c>
    </row>
    <row r="317" spans="1:2">
      <c r="A317" s="4">
        <v>45240</v>
      </c>
      <c r="B317" s="9">
        <v>15.4376310507966</v>
      </c>
    </row>
    <row r="318" spans="1:2">
      <c r="A318" s="4">
        <v>45243</v>
      </c>
      <c r="B318" s="9">
        <v>16.7907461901805</v>
      </c>
    </row>
    <row r="319" spans="1:2">
      <c r="A319" s="4">
        <v>45244</v>
      </c>
      <c r="B319" s="9">
        <v>16.762025549227</v>
      </c>
    </row>
    <row r="320" spans="1:2">
      <c r="A320" s="4">
        <v>45245</v>
      </c>
      <c r="B320" s="9">
        <v>10.8311206851209</v>
      </c>
    </row>
    <row r="321" spans="1:2">
      <c r="A321" s="4">
        <v>45246</v>
      </c>
      <c r="B321" s="9">
        <v>10.4203565219287</v>
      </c>
    </row>
    <row r="322" spans="1:2">
      <c r="A322" s="4">
        <v>45247</v>
      </c>
      <c r="B322" s="9">
        <v>8.8390041095118</v>
      </c>
    </row>
    <row r="323" spans="1:2">
      <c r="A323" s="4">
        <v>45250</v>
      </c>
      <c r="B323" s="9">
        <v>7.89098436665732</v>
      </c>
    </row>
    <row r="324" spans="1:2">
      <c r="A324" s="4">
        <v>45251</v>
      </c>
      <c r="B324" s="9">
        <v>10.6593323964276</v>
      </c>
    </row>
    <row r="325" spans="1:2">
      <c r="A325" s="4">
        <v>45252</v>
      </c>
      <c r="B325" s="9">
        <v>9.05180374658985</v>
      </c>
    </row>
    <row r="326" spans="1:2">
      <c r="A326" s="4">
        <v>45253</v>
      </c>
      <c r="B326" s="9">
        <v>4.96538291649098</v>
      </c>
    </row>
    <row r="327" spans="1:2">
      <c r="A327" s="4">
        <v>45254</v>
      </c>
      <c r="B327" s="9">
        <v>8.79111533243436</v>
      </c>
    </row>
    <row r="328" spans="1:2">
      <c r="A328" s="4">
        <v>45257</v>
      </c>
      <c r="B328" s="9">
        <v>8.22631358719191</v>
      </c>
    </row>
    <row r="329" spans="1:2">
      <c r="A329" s="4">
        <v>45258</v>
      </c>
      <c r="B329" s="9">
        <v>13.4006294730703</v>
      </c>
    </row>
    <row r="330" spans="1:2">
      <c r="A330" s="4">
        <v>45259</v>
      </c>
      <c r="B330" s="9">
        <v>12.1945913266111</v>
      </c>
    </row>
    <row r="331" spans="1:2">
      <c r="A331" s="4">
        <v>45260</v>
      </c>
      <c r="B331" s="9">
        <v>15.2628127041858</v>
      </c>
    </row>
    <row r="332" spans="1:2">
      <c r="A332" s="4">
        <v>45261</v>
      </c>
      <c r="B332" s="9">
        <v>14.0333253344876</v>
      </c>
    </row>
    <row r="333" spans="1:2">
      <c r="A333" s="4">
        <v>45264</v>
      </c>
      <c r="B333" s="9">
        <v>22.8119960762741</v>
      </c>
    </row>
    <row r="334" spans="1:2">
      <c r="A334" s="4">
        <v>45265</v>
      </c>
      <c r="B334" s="9">
        <v>15.9457304183777</v>
      </c>
    </row>
    <row r="335" spans="1:2">
      <c r="A335" s="4">
        <v>45266</v>
      </c>
      <c r="B335" s="9">
        <v>13.490023147501</v>
      </c>
    </row>
    <row r="336" spans="1:2">
      <c r="A336" s="4">
        <v>45267</v>
      </c>
      <c r="B336" s="9">
        <v>3.93301229677555</v>
      </c>
    </row>
    <row r="337" spans="1:2">
      <c r="A337" s="4">
        <v>45268</v>
      </c>
      <c r="B337" s="9">
        <v>1.62657836404096</v>
      </c>
    </row>
    <row r="338" spans="1:2">
      <c r="A338" s="4">
        <v>45271</v>
      </c>
      <c r="B338" s="9">
        <v>3.68686527169098</v>
      </c>
    </row>
    <row r="339" spans="1:2">
      <c r="A339" s="4">
        <v>45272</v>
      </c>
      <c r="B339" s="9">
        <v>-0.0103841264817085</v>
      </c>
    </row>
    <row r="340" spans="1:2">
      <c r="A340" s="4">
        <v>45273</v>
      </c>
      <c r="B340" s="9">
        <v>-4.21805953224927</v>
      </c>
    </row>
    <row r="341" spans="1:2">
      <c r="A341" s="4">
        <v>45274</v>
      </c>
      <c r="B341" s="9">
        <v>-16.9765667011411</v>
      </c>
    </row>
    <row r="342" spans="1:2">
      <c r="A342" s="4">
        <v>45275</v>
      </c>
      <c r="B342" s="9">
        <v>8.16592135731966</v>
      </c>
    </row>
    <row r="343" spans="1:2">
      <c r="A343" s="4">
        <v>45278</v>
      </c>
      <c r="B343" s="9">
        <v>4.51830741075647</v>
      </c>
    </row>
    <row r="344" spans="1:2">
      <c r="A344" s="4">
        <v>45279</v>
      </c>
      <c r="B344" s="9">
        <v>4.73484035009776</v>
      </c>
    </row>
    <row r="345" spans="1:2">
      <c r="A345" s="4">
        <v>45280</v>
      </c>
      <c r="B345" s="9">
        <v>3.21744484246308</v>
      </c>
    </row>
    <row r="346" spans="1:2">
      <c r="A346" s="4">
        <v>45281</v>
      </c>
      <c r="B346" s="9">
        <v>5.89437335502813</v>
      </c>
    </row>
    <row r="347" spans="1:2">
      <c r="A347" s="4">
        <v>45282</v>
      </c>
      <c r="B347" s="9">
        <v>2.42175542761069</v>
      </c>
    </row>
    <row r="348" spans="1:2">
      <c r="A348" s="4">
        <v>45285</v>
      </c>
      <c r="B348" s="9">
        <v>4.15805694822809</v>
      </c>
    </row>
    <row r="349" spans="1:2">
      <c r="A349" s="4">
        <v>45286</v>
      </c>
      <c r="B349" s="9">
        <v>3.68340406772611</v>
      </c>
    </row>
    <row r="350" spans="1:2">
      <c r="A350" s="4">
        <v>45287</v>
      </c>
      <c r="B350" s="9">
        <v>5.97941460469938</v>
      </c>
    </row>
    <row r="351" spans="1:2">
      <c r="A351" s="4">
        <v>45288</v>
      </c>
      <c r="B351" s="9">
        <v>0.572487853859291</v>
      </c>
    </row>
    <row r="352" spans="1:2">
      <c r="A352" s="4">
        <v>45289</v>
      </c>
      <c r="B352" s="9">
        <v>-2.14163921320181</v>
      </c>
    </row>
    <row r="353" spans="1:2">
      <c r="A353" s="4">
        <v>45293</v>
      </c>
      <c r="B353" s="9">
        <v>6.45062378148662</v>
      </c>
    </row>
    <row r="354" spans="1:2">
      <c r="A354" s="4">
        <v>45294</v>
      </c>
      <c r="B354" s="9">
        <v>4.8349972237896</v>
      </c>
    </row>
    <row r="355" spans="1:2">
      <c r="A355" s="4">
        <v>45295</v>
      </c>
      <c r="B355" s="9">
        <v>6.41804003464996</v>
      </c>
    </row>
    <row r="356" spans="1:2">
      <c r="A356" s="4">
        <v>45296</v>
      </c>
      <c r="B356" s="9">
        <v>4.40830221336766</v>
      </c>
    </row>
    <row r="357" spans="1:2">
      <c r="A357" s="4">
        <v>45299</v>
      </c>
      <c r="B357" s="9">
        <v>28.5801606887397</v>
      </c>
    </row>
    <row r="358" spans="1:2">
      <c r="A358" s="4">
        <v>45300</v>
      </c>
      <c r="B358" s="9">
        <v>19.9598411207953</v>
      </c>
    </row>
    <row r="359" spans="1:2">
      <c r="A359" s="4">
        <v>45301</v>
      </c>
      <c r="B359" s="9">
        <v>15.572987426172</v>
      </c>
    </row>
    <row r="360" spans="1:2">
      <c r="A360" s="4">
        <v>45302</v>
      </c>
      <c r="B360" s="9">
        <v>10.1297032023756</v>
      </c>
    </row>
    <row r="361" spans="1:2">
      <c r="A361" s="4">
        <v>45303</v>
      </c>
      <c r="B361" s="9">
        <v>17.5595951698513</v>
      </c>
    </row>
    <row r="362" spans="1:2">
      <c r="A362" s="4">
        <v>45306</v>
      </c>
      <c r="B362" s="9">
        <v>26.2403550326515</v>
      </c>
    </row>
    <row r="363" spans="1:2">
      <c r="A363" s="4">
        <v>45307</v>
      </c>
      <c r="B363" s="9">
        <v>29.8698255489636</v>
      </c>
    </row>
    <row r="364" spans="1:2">
      <c r="A364" s="4">
        <v>45308</v>
      </c>
      <c r="B364" s="9">
        <v>66.0614771307702</v>
      </c>
    </row>
    <row r="365" spans="1:2">
      <c r="A365" s="4">
        <v>45309</v>
      </c>
      <c r="B365" s="9">
        <v>67.0519870952286</v>
      </c>
    </row>
    <row r="366" spans="1:2">
      <c r="A366" s="4">
        <v>45310</v>
      </c>
      <c r="B366" s="9">
        <v>26.3762580539593</v>
      </c>
    </row>
    <row r="367" spans="1:2">
      <c r="A367" s="4">
        <v>45313</v>
      </c>
      <c r="B367" s="9">
        <v>56.8017300155719</v>
      </c>
    </row>
    <row r="368" spans="1:2">
      <c r="A368" s="4">
        <v>45314</v>
      </c>
      <c r="B368" s="9">
        <v>28.6970690126413</v>
      </c>
    </row>
    <row r="369" spans="1:2">
      <c r="A369" s="4">
        <v>45315</v>
      </c>
      <c r="B369" s="9">
        <v>19.669614016187</v>
      </c>
    </row>
    <row r="370" spans="1:2">
      <c r="A370" s="4">
        <v>45316</v>
      </c>
      <c r="B370" s="9">
        <v>3.76012981715907</v>
      </c>
    </row>
    <row r="371" spans="1:2">
      <c r="A371" s="4">
        <v>45317</v>
      </c>
      <c r="B371" s="9">
        <v>22.8424037971433</v>
      </c>
    </row>
    <row r="372" spans="1:2">
      <c r="A372" s="4">
        <v>45320</v>
      </c>
      <c r="B372" s="9">
        <v>33.2504489893441</v>
      </c>
    </row>
    <row r="373" spans="1:2">
      <c r="A373" s="4">
        <v>45321</v>
      </c>
      <c r="B373" s="9">
        <v>43.1656561820152</v>
      </c>
    </row>
    <row r="374" spans="1:2">
      <c r="A374" s="4">
        <v>45322</v>
      </c>
      <c r="B374" s="9">
        <v>37.7688174290164</v>
      </c>
    </row>
    <row r="375" spans="1:2">
      <c r="A375" s="4">
        <v>45323</v>
      </c>
      <c r="B375" s="9">
        <v>38.5256477971311</v>
      </c>
    </row>
    <row r="376" spans="1:2">
      <c r="A376" s="4">
        <v>45324</v>
      </c>
      <c r="B376" s="9">
        <v>61.4518021689237</v>
      </c>
    </row>
    <row r="377" spans="1:2">
      <c r="A377" s="4">
        <v>45327</v>
      </c>
      <c r="B377" s="9">
        <v>135.648281491831</v>
      </c>
    </row>
    <row r="378" spans="1:2">
      <c r="A378" s="4">
        <v>45328</v>
      </c>
      <c r="B378" s="9">
        <v>-22.5310294447981</v>
      </c>
    </row>
    <row r="379" spans="1:2">
      <c r="A379" s="4">
        <v>45329</v>
      </c>
      <c r="B379" s="9">
        <v>1.14767420534818</v>
      </c>
    </row>
    <row r="380" spans="1:2">
      <c r="A380" s="4">
        <v>45330</v>
      </c>
      <c r="B380" s="9">
        <v>3.0290821084589</v>
      </c>
    </row>
    <row r="381" spans="1:2">
      <c r="A381" s="4">
        <v>45341</v>
      </c>
      <c r="B381" s="9">
        <v>18.6362502075469</v>
      </c>
    </row>
    <row r="382" spans="1:2">
      <c r="A382" s="4">
        <v>45342</v>
      </c>
      <c r="B382" s="9">
        <v>14.8663775603375</v>
      </c>
    </row>
    <row r="383" spans="1:2">
      <c r="A383" s="4">
        <v>45343</v>
      </c>
      <c r="B383" s="9">
        <v>19.7328039804809</v>
      </c>
    </row>
    <row r="384" spans="1:2">
      <c r="A384" s="4">
        <v>45344</v>
      </c>
      <c r="B384" s="9">
        <v>8.31685403386139</v>
      </c>
    </row>
    <row r="385" spans="1:2">
      <c r="A385" s="4">
        <v>45345</v>
      </c>
      <c r="B385" s="9">
        <v>2.59228137783002</v>
      </c>
    </row>
    <row r="386" spans="1:2">
      <c r="A386" s="4">
        <v>45348</v>
      </c>
      <c r="B386" s="9">
        <v>12.8110226970138</v>
      </c>
    </row>
    <row r="387" spans="1:2">
      <c r="A387" s="4">
        <v>45349</v>
      </c>
      <c r="B387" s="9">
        <v>2.65975060267245</v>
      </c>
    </row>
    <row r="388" spans="1:2">
      <c r="A388" s="4">
        <v>45350</v>
      </c>
      <c r="B388" s="9">
        <v>12.8596635150655</v>
      </c>
    </row>
    <row r="389" spans="1:2">
      <c r="A389" s="4">
        <v>45351</v>
      </c>
      <c r="B389" s="9">
        <v>4.21187954787248</v>
      </c>
    </row>
    <row r="390" spans="1:2">
      <c r="A390" s="4">
        <v>45352</v>
      </c>
      <c r="B390" s="9">
        <v>4.1817472914535</v>
      </c>
    </row>
    <row r="391" spans="1:2">
      <c r="A391" s="4">
        <v>45355</v>
      </c>
      <c r="B391" s="9">
        <v>20.6949253469151</v>
      </c>
    </row>
    <row r="392" spans="1:2">
      <c r="A392" s="4">
        <v>45356</v>
      </c>
      <c r="B392" s="9">
        <v>32.9354720741076</v>
      </c>
    </row>
    <row r="393" spans="1:2">
      <c r="A393" s="4">
        <v>45357</v>
      </c>
      <c r="B393" s="9">
        <v>21.171478562123</v>
      </c>
    </row>
    <row r="394" spans="1:2">
      <c r="A394" s="4">
        <v>45358</v>
      </c>
      <c r="B394" s="9">
        <v>17.6956638467623</v>
      </c>
    </row>
    <row r="395" spans="1:2">
      <c r="A395" s="4">
        <v>45359</v>
      </c>
      <c r="B395" s="9">
        <v>17.3575036767939</v>
      </c>
    </row>
    <row r="396" spans="1:2">
      <c r="A396" s="4">
        <v>45362</v>
      </c>
      <c r="B396" s="9">
        <v>3.33431169077968</v>
      </c>
    </row>
    <row r="397" spans="1:2">
      <c r="A397" s="4">
        <v>45363</v>
      </c>
      <c r="B397" s="9">
        <v>9.27353168016671</v>
      </c>
    </row>
    <row r="398" spans="1:2">
      <c r="A398" s="4">
        <v>45364</v>
      </c>
      <c r="B398" s="9">
        <v>6.61591760739908</v>
      </c>
    </row>
    <row r="399" spans="1:2">
      <c r="A399" s="4">
        <v>45365</v>
      </c>
      <c r="B399" s="9">
        <v>-0.806275804812859</v>
      </c>
    </row>
    <row r="400" spans="1:2">
      <c r="A400" s="4">
        <v>45366</v>
      </c>
      <c r="B400" s="9">
        <v>4.39571736193376</v>
      </c>
    </row>
    <row r="401" spans="1:2">
      <c r="A401" s="4">
        <v>45369</v>
      </c>
      <c r="B401" s="9">
        <v>1.61882670567284</v>
      </c>
    </row>
    <row r="402" spans="1:2">
      <c r="A402" s="4">
        <v>45370</v>
      </c>
      <c r="B402" s="9">
        <v>5.24369017051123</v>
      </c>
    </row>
    <row r="403" spans="1:2">
      <c r="A403" s="4">
        <v>45371</v>
      </c>
      <c r="B403" s="9">
        <v>6.34326272695999</v>
      </c>
    </row>
    <row r="404" spans="1:2">
      <c r="A404" s="4">
        <v>45372</v>
      </c>
      <c r="B404" s="9">
        <v>6.91009531978934</v>
      </c>
    </row>
    <row r="405" spans="1:2">
      <c r="A405" s="4">
        <v>45373</v>
      </c>
      <c r="B405" s="9">
        <v>8.71994174606377</v>
      </c>
    </row>
    <row r="406" spans="1:2">
      <c r="A406" s="4">
        <v>45376</v>
      </c>
      <c r="B406" s="9">
        <v>7.79087770356534</v>
      </c>
    </row>
    <row r="407" spans="1:2">
      <c r="A407" s="4">
        <v>45377</v>
      </c>
      <c r="B407" s="9">
        <v>12.6194607406656</v>
      </c>
    </row>
    <row r="408" spans="1:2">
      <c r="A408" s="4">
        <v>45378</v>
      </c>
      <c r="B408" s="9">
        <v>14.6661470730126</v>
      </c>
    </row>
    <row r="409" spans="1:2">
      <c r="A409" s="4">
        <v>45379</v>
      </c>
      <c r="B409" s="9">
        <v>10.1061771169973</v>
      </c>
    </row>
    <row r="410" spans="1:2">
      <c r="A410" s="4">
        <v>45380</v>
      </c>
      <c r="B410" s="9">
        <v>9.60265321515414</v>
      </c>
    </row>
    <row r="411" spans="1:2">
      <c r="A411" s="4">
        <v>45383</v>
      </c>
      <c r="B411" s="9">
        <v>6.03855324675968</v>
      </c>
    </row>
    <row r="412" spans="1:2">
      <c r="A412" s="4">
        <v>45384</v>
      </c>
      <c r="B412" s="9">
        <v>9.21019753408452</v>
      </c>
    </row>
    <row r="413" spans="1:2">
      <c r="A413" s="4">
        <v>45385</v>
      </c>
      <c r="B413" s="9">
        <v>10.7115842094592</v>
      </c>
    </row>
    <row r="414" spans="1:2">
      <c r="A414" s="4">
        <v>45390</v>
      </c>
      <c r="B414" s="9">
        <v>23.8498207416161</v>
      </c>
    </row>
    <row r="415" spans="1:2">
      <c r="A415" s="4">
        <v>45391</v>
      </c>
      <c r="B415" s="9">
        <v>18.9510106827463</v>
      </c>
    </row>
    <row r="416" spans="1:2">
      <c r="A416" s="4">
        <v>45392</v>
      </c>
      <c r="B416" s="9">
        <v>21.5736458887914</v>
      </c>
    </row>
    <row r="417" spans="1:2">
      <c r="A417" s="4">
        <v>45393</v>
      </c>
      <c r="B417" s="9">
        <v>17.3365050136434</v>
      </c>
    </row>
    <row r="418" spans="1:2">
      <c r="A418" s="4">
        <v>45394</v>
      </c>
      <c r="B418" s="9">
        <v>23.2335073284929</v>
      </c>
    </row>
    <row r="419" spans="1:2">
      <c r="A419" s="4">
        <v>45397</v>
      </c>
      <c r="B419" s="9">
        <v>23.3677978761838</v>
      </c>
    </row>
    <row r="420" spans="1:2">
      <c r="A420" s="4">
        <v>45398</v>
      </c>
      <c r="B420" s="9">
        <v>14.3831195379816</v>
      </c>
    </row>
    <row r="421" spans="1:2">
      <c r="A421" s="4">
        <v>45399</v>
      </c>
      <c r="B421" s="9">
        <v>-2.7481708611631</v>
      </c>
    </row>
    <row r="422" spans="1:2">
      <c r="A422" s="4">
        <v>45400</v>
      </c>
      <c r="B422" s="9">
        <v>-8.23005693209569</v>
      </c>
    </row>
    <row r="423" spans="1:2">
      <c r="A423" s="4">
        <v>45401</v>
      </c>
      <c r="B423" s="9">
        <v>16.4615830869015</v>
      </c>
    </row>
    <row r="424" spans="1:2">
      <c r="A424" s="4">
        <v>45404</v>
      </c>
      <c r="B424" s="9">
        <v>14.8405532101236</v>
      </c>
    </row>
    <row r="425" spans="1:2">
      <c r="A425" s="4">
        <v>45405</v>
      </c>
      <c r="B425" s="9">
        <v>16.2438415118791</v>
      </c>
    </row>
    <row r="426" spans="1:2">
      <c r="A426" s="4">
        <v>45406</v>
      </c>
      <c r="B426" s="9">
        <v>12.0586994778274</v>
      </c>
    </row>
    <row r="427" spans="1:2">
      <c r="A427" s="4">
        <v>45407</v>
      </c>
      <c r="B427" s="9">
        <v>12.3539437647232</v>
      </c>
    </row>
    <row r="428" spans="1:2">
      <c r="A428" s="4">
        <v>45408</v>
      </c>
      <c r="B428" s="9">
        <v>8.07650034619569</v>
      </c>
    </row>
    <row r="429" spans="1:2">
      <c r="A429" s="4">
        <v>45411</v>
      </c>
      <c r="B429" s="9">
        <v>4.3874759299333</v>
      </c>
    </row>
    <row r="430" spans="1:2">
      <c r="A430" s="4">
        <v>45412</v>
      </c>
      <c r="B430" s="9">
        <v>6.31857552999416</v>
      </c>
    </row>
    <row r="431" spans="1:2">
      <c r="A431" s="4">
        <v>45418</v>
      </c>
      <c r="B431" s="9">
        <v>7.63793753016894</v>
      </c>
    </row>
    <row r="432" spans="1:2">
      <c r="A432" s="4">
        <v>45419</v>
      </c>
      <c r="B432" s="9">
        <v>9.17599093427104</v>
      </c>
    </row>
    <row r="433" spans="1:2">
      <c r="A433" s="4">
        <v>45420</v>
      </c>
      <c r="B433" s="9">
        <v>10.6476246215927</v>
      </c>
    </row>
    <row r="434" spans="1:2">
      <c r="A434" s="4">
        <v>45421</v>
      </c>
      <c r="B434" s="9">
        <v>9.17624846048444</v>
      </c>
    </row>
    <row r="435" spans="1:2">
      <c r="A435" s="4">
        <v>45422</v>
      </c>
      <c r="B435" s="9">
        <v>10.5593021603693</v>
      </c>
    </row>
    <row r="436" spans="1:2">
      <c r="A436" s="4">
        <v>45425</v>
      </c>
      <c r="B436" s="9">
        <v>12.0240799368556</v>
      </c>
    </row>
    <row r="437" spans="1:2">
      <c r="A437" s="4">
        <v>45426</v>
      </c>
      <c r="B437" s="9">
        <v>13.13553028861</v>
      </c>
    </row>
    <row r="438" spans="1:2">
      <c r="A438" s="4">
        <v>45427</v>
      </c>
      <c r="B438" s="9">
        <v>12.3353092647711</v>
      </c>
    </row>
    <row r="439" spans="1:2">
      <c r="A439" s="4">
        <v>45428</v>
      </c>
      <c r="B439" s="9">
        <v>12.9536568727262</v>
      </c>
    </row>
    <row r="440" spans="1:2">
      <c r="A440" s="4">
        <v>45429</v>
      </c>
      <c r="B440" s="9">
        <v>5.93737703863096</v>
      </c>
    </row>
    <row r="441" spans="1:2">
      <c r="A441" s="4">
        <v>45432</v>
      </c>
      <c r="B441" s="9">
        <v>10.7162118227613</v>
      </c>
    </row>
    <row r="442" spans="1:2">
      <c r="A442" s="4">
        <v>45433</v>
      </c>
      <c r="B442" s="9">
        <v>11.7681573088778</v>
      </c>
    </row>
    <row r="443" spans="1:2">
      <c r="A443" s="4">
        <v>45434</v>
      </c>
      <c r="B443" s="9">
        <v>12.320189828792</v>
      </c>
    </row>
    <row r="444" spans="1:2">
      <c r="A444" s="4">
        <v>45435</v>
      </c>
      <c r="B444" s="9">
        <v>11.8377831765208</v>
      </c>
    </row>
    <row r="445" spans="1:2">
      <c r="A445" s="4">
        <v>45436</v>
      </c>
      <c r="B445" s="9">
        <v>13.7631118164676</v>
      </c>
    </row>
    <row r="446" spans="1:2">
      <c r="A446" s="4">
        <v>45439</v>
      </c>
      <c r="B446" s="9">
        <v>16.7536617983386</v>
      </c>
    </row>
    <row r="447" spans="1:2">
      <c r="A447" s="4">
        <v>45440</v>
      </c>
      <c r="B447" s="9">
        <v>17.926982520043</v>
      </c>
    </row>
    <row r="448" spans="1:2">
      <c r="A448" s="4">
        <v>45441</v>
      </c>
      <c r="B448" s="9">
        <v>18.4817647987029</v>
      </c>
    </row>
    <row r="449" spans="1:2">
      <c r="A449" s="4">
        <v>45442</v>
      </c>
      <c r="B449" s="9">
        <v>12.5648614199461</v>
      </c>
    </row>
    <row r="450" spans="1:2">
      <c r="A450" s="4">
        <v>45443</v>
      </c>
      <c r="B450" s="9">
        <v>12.825485452338</v>
      </c>
    </row>
    <row r="451" spans="1:2">
      <c r="A451" s="4">
        <v>45446</v>
      </c>
      <c r="B451" s="9">
        <v>21.0258250802521</v>
      </c>
    </row>
    <row r="452" spans="1:2">
      <c r="A452" s="4">
        <v>45447</v>
      </c>
      <c r="B452" s="9">
        <v>16.3249756753951</v>
      </c>
    </row>
    <row r="453" spans="1:2">
      <c r="A453" s="4">
        <v>45448</v>
      </c>
      <c r="B453" s="9">
        <v>13.6999985628252</v>
      </c>
    </row>
    <row r="454" spans="1:2">
      <c r="A454" s="4">
        <v>45449</v>
      </c>
      <c r="B454" s="9">
        <v>12.8762958177655</v>
      </c>
    </row>
    <row r="455" spans="1:2">
      <c r="A455" s="4">
        <v>45450</v>
      </c>
      <c r="B455" s="9">
        <v>18.7183714208203</v>
      </c>
    </row>
    <row r="456" spans="1:2">
      <c r="A456" s="4">
        <v>45454</v>
      </c>
      <c r="B456" s="9">
        <v>13.3163263921306</v>
      </c>
    </row>
    <row r="457" spans="1:2">
      <c r="A457" s="4">
        <v>45455</v>
      </c>
      <c r="B457" s="9">
        <v>21.4837298444089</v>
      </c>
    </row>
    <row r="458" spans="1:2">
      <c r="A458" s="4">
        <v>45456</v>
      </c>
      <c r="B458" s="9">
        <v>21.948601406579</v>
      </c>
    </row>
    <row r="459" spans="1:2">
      <c r="A459" s="4">
        <v>45457</v>
      </c>
      <c r="B459" s="9">
        <v>1.4889537151441</v>
      </c>
    </row>
    <row r="460" spans="1:2">
      <c r="A460" s="4">
        <v>45460</v>
      </c>
      <c r="B460" s="9">
        <v>9.80696677938487</v>
      </c>
    </row>
    <row r="461" spans="1:2">
      <c r="A461" s="4">
        <v>45461</v>
      </c>
      <c r="B461" s="9">
        <v>-3.28303337534227</v>
      </c>
    </row>
    <row r="462" spans="1:2">
      <c r="A462" s="4">
        <v>45462</v>
      </c>
      <c r="B462" s="9">
        <v>8.06606156912213</v>
      </c>
    </row>
    <row r="463" spans="1:2">
      <c r="A463" s="4">
        <v>45463</v>
      </c>
      <c r="B463" s="9">
        <v>-19.4360288760307</v>
      </c>
    </row>
    <row r="464" spans="1:2">
      <c r="A464" s="4">
        <v>45464</v>
      </c>
      <c r="B464" s="9">
        <v>14.3019407146405</v>
      </c>
    </row>
    <row r="465" spans="1:2">
      <c r="A465" s="4">
        <v>45467</v>
      </c>
      <c r="B465" s="9">
        <v>13.7529289900092</v>
      </c>
    </row>
    <row r="466" spans="1:2">
      <c r="A466" s="4">
        <v>45468</v>
      </c>
      <c r="B466" s="9">
        <v>10.6429536103503</v>
      </c>
    </row>
    <row r="467" spans="1:2">
      <c r="A467" s="4">
        <v>45469</v>
      </c>
      <c r="B467" s="9">
        <v>8.90867695392117</v>
      </c>
    </row>
    <row r="468" spans="1:2">
      <c r="A468" s="4">
        <v>45470</v>
      </c>
      <c r="B468" s="9">
        <v>8.79359421573639</v>
      </c>
    </row>
    <row r="469" spans="1:2">
      <c r="A469" s="4">
        <v>45471</v>
      </c>
      <c r="B469" s="9">
        <v>14.2294153707806</v>
      </c>
    </row>
    <row r="470" spans="1:2">
      <c r="A470" s="4">
        <v>45474</v>
      </c>
      <c r="B470" s="9">
        <v>15.8720468320973</v>
      </c>
    </row>
    <row r="471" spans="1:2">
      <c r="A471" s="4">
        <v>45475</v>
      </c>
      <c r="B471" s="9">
        <v>15.2337838437296</v>
      </c>
    </row>
    <row r="472" spans="1:2">
      <c r="A472" s="4">
        <v>45476</v>
      </c>
      <c r="B472" s="9">
        <v>13.8023929989245</v>
      </c>
    </row>
    <row r="473" spans="1:2">
      <c r="A473" s="4">
        <v>45477</v>
      </c>
      <c r="B473" s="9">
        <v>14.3798610125272</v>
      </c>
    </row>
    <row r="474" spans="1:2">
      <c r="A474" s="4">
        <v>45478</v>
      </c>
      <c r="B474" s="9">
        <v>15.3980916651917</v>
      </c>
    </row>
    <row r="475" spans="1:2">
      <c r="A475" s="4">
        <v>45481</v>
      </c>
      <c r="B475" s="9">
        <v>16.4918151921377</v>
      </c>
    </row>
    <row r="476" spans="1:2">
      <c r="A476" s="4">
        <v>45482</v>
      </c>
      <c r="B476" s="9">
        <v>17.64007445796</v>
      </c>
    </row>
    <row r="477" spans="1:2">
      <c r="A477" s="4">
        <v>45483</v>
      </c>
      <c r="B477" s="9">
        <v>12.8734638182364</v>
      </c>
    </row>
    <row r="478" spans="1:2">
      <c r="A478" s="4">
        <v>45484</v>
      </c>
      <c r="B478" s="9">
        <v>8.89953529160917</v>
      </c>
    </row>
    <row r="479" spans="1:2">
      <c r="A479" s="4">
        <v>45485</v>
      </c>
      <c r="B479" s="9">
        <v>11.8042271048736</v>
      </c>
    </row>
    <row r="480" spans="1:2">
      <c r="A480" s="4">
        <v>45488</v>
      </c>
      <c r="B480" s="9">
        <v>19.4737457971625</v>
      </c>
    </row>
    <row r="481" spans="1:2">
      <c r="A481" s="4">
        <v>45489</v>
      </c>
      <c r="B481" s="9">
        <v>25.9969652150921</v>
      </c>
    </row>
    <row r="482" spans="1:2">
      <c r="A482" s="4">
        <v>45490</v>
      </c>
      <c r="B482" s="9">
        <v>10.4671823423888</v>
      </c>
    </row>
    <row r="483" spans="1:2">
      <c r="A483" s="4">
        <v>45491</v>
      </c>
      <c r="B483" s="9">
        <v>8.38012833568034</v>
      </c>
    </row>
    <row r="484" spans="1:2">
      <c r="A484" s="4">
        <v>45492</v>
      </c>
      <c r="B484" s="9">
        <v>15.9068588771921</v>
      </c>
    </row>
    <row r="485" spans="1:2">
      <c r="A485" s="4">
        <v>45495</v>
      </c>
      <c r="B485" s="9">
        <v>15.7118597713596</v>
      </c>
    </row>
    <row r="486" spans="1:2">
      <c r="A486" s="4">
        <v>45496</v>
      </c>
      <c r="B486" s="9">
        <v>19.6046207406561</v>
      </c>
    </row>
    <row r="487" spans="1:2">
      <c r="A487" s="4">
        <v>45497</v>
      </c>
      <c r="B487" s="9">
        <v>18.2378878580341</v>
      </c>
    </row>
    <row r="488" spans="1:2">
      <c r="A488" s="4">
        <v>45498</v>
      </c>
      <c r="B488" s="9">
        <v>16.9410277841162</v>
      </c>
    </row>
    <row r="489" spans="1:2">
      <c r="A489" s="4">
        <v>45499</v>
      </c>
      <c r="B489" s="9">
        <v>12.4545945624063</v>
      </c>
    </row>
    <row r="490" spans="1:2">
      <c r="A490" s="4">
        <v>45502</v>
      </c>
      <c r="B490" s="9">
        <v>16.7339796946234</v>
      </c>
    </row>
    <row r="491" spans="1:2">
      <c r="A491" s="4">
        <v>45503</v>
      </c>
      <c r="B491" s="9">
        <v>17.6545473624592</v>
      </c>
    </row>
    <row r="492" spans="1:2">
      <c r="A492" s="4">
        <v>45504</v>
      </c>
      <c r="B492" s="9">
        <v>-2.32830463010529</v>
      </c>
    </row>
    <row r="493" spans="1:2">
      <c r="A493" s="4">
        <v>45505</v>
      </c>
      <c r="B493" s="9">
        <v>8.06677983476042</v>
      </c>
    </row>
    <row r="494" spans="1:2">
      <c r="A494" s="4">
        <v>45506</v>
      </c>
      <c r="B494" s="9">
        <v>8.07479399813271</v>
      </c>
    </row>
    <row r="495" spans="1:2">
      <c r="A495" s="4">
        <v>45509</v>
      </c>
      <c r="B495" s="9">
        <v>4.36829056526816</v>
      </c>
    </row>
    <row r="496" spans="1:2">
      <c r="A496" s="4">
        <v>45510</v>
      </c>
      <c r="B496" s="9">
        <v>11.7817698787978</v>
      </c>
    </row>
    <row r="497" spans="1:2">
      <c r="A497" s="4">
        <v>45511</v>
      </c>
      <c r="B497" s="9">
        <v>16.081521521437</v>
      </c>
    </row>
    <row r="498" spans="1:2">
      <c r="A498" s="4">
        <v>45512</v>
      </c>
      <c r="B498" s="9">
        <v>3.38591047275039</v>
      </c>
    </row>
    <row r="499" spans="1:2">
      <c r="A499" s="4">
        <v>45513</v>
      </c>
      <c r="B499" s="9">
        <v>13.9504507434551</v>
      </c>
    </row>
    <row r="500" spans="1:2">
      <c r="A500" s="4">
        <v>45516</v>
      </c>
      <c r="B500" s="9">
        <v>-4.59799580312884</v>
      </c>
    </row>
    <row r="501" spans="1:2">
      <c r="A501" s="4">
        <v>45517</v>
      </c>
      <c r="B501" s="9">
        <v>10.3587783324783</v>
      </c>
    </row>
    <row r="502" spans="1:2">
      <c r="A502" s="4">
        <v>45518</v>
      </c>
      <c r="B502" s="9">
        <v>13.7627092123941</v>
      </c>
    </row>
    <row r="503" spans="1:2">
      <c r="A503" s="4">
        <v>45519</v>
      </c>
      <c r="B503" s="9">
        <v>11.6052935448517</v>
      </c>
    </row>
    <row r="504" spans="1:2">
      <c r="A504" s="4">
        <v>45520</v>
      </c>
      <c r="B504" s="9">
        <v>11.0642647554752</v>
      </c>
    </row>
    <row r="505" spans="1:2">
      <c r="A505" s="4">
        <v>45523</v>
      </c>
      <c r="B505" s="9">
        <v>9.51215009088549</v>
      </c>
    </row>
    <row r="506" spans="1:2">
      <c r="A506" s="4">
        <v>45524</v>
      </c>
      <c r="B506" s="9">
        <v>10.4978485506327</v>
      </c>
    </row>
    <row r="507" spans="1:2">
      <c r="A507" s="4">
        <v>45525</v>
      </c>
      <c r="B507" s="9">
        <v>6.87452181916752</v>
      </c>
    </row>
    <row r="508" spans="1:2">
      <c r="A508" s="4">
        <v>45526</v>
      </c>
      <c r="B508" s="9">
        <v>5.18696216908225</v>
      </c>
    </row>
    <row r="509" spans="1:2">
      <c r="A509" s="4">
        <v>45527</v>
      </c>
      <c r="B509" s="9">
        <v>5.9546700028187</v>
      </c>
    </row>
    <row r="510" spans="1:2">
      <c r="A510" s="4">
        <v>45530</v>
      </c>
      <c r="B510" s="9">
        <v>7.29176261091161</v>
      </c>
    </row>
    <row r="511" spans="1:2">
      <c r="A511" s="4">
        <v>45531</v>
      </c>
      <c r="B511" s="9">
        <v>5.76409716288044</v>
      </c>
    </row>
    <row r="512" spans="1:2">
      <c r="A512" s="4">
        <v>45532</v>
      </c>
      <c r="B512" s="9">
        <v>7.11255450419869</v>
      </c>
    </row>
    <row r="513" spans="1:2">
      <c r="A513" s="4">
        <v>45533</v>
      </c>
      <c r="B513" s="9">
        <v>5.52699335091388</v>
      </c>
    </row>
    <row r="514" spans="1:2">
      <c r="A514" s="4">
        <v>45534</v>
      </c>
      <c r="B514" s="9">
        <v>3.20916497554323</v>
      </c>
    </row>
    <row r="515" spans="1:2">
      <c r="A515" s="4">
        <v>45537</v>
      </c>
      <c r="B515" s="9">
        <v>7.17656493219919</v>
      </c>
    </row>
    <row r="516" spans="1:2">
      <c r="A516" s="4">
        <v>45538</v>
      </c>
      <c r="B516" s="9">
        <v>11.3894491955388</v>
      </c>
    </row>
    <row r="517" spans="1:2">
      <c r="A517" s="4">
        <v>45539</v>
      </c>
      <c r="B517" s="9">
        <v>7.27634152645751</v>
      </c>
    </row>
    <row r="518" spans="1:2">
      <c r="A518" s="4">
        <v>45540</v>
      </c>
      <c r="B518" s="9">
        <v>5.22223503440192</v>
      </c>
    </row>
    <row r="519" spans="1:2">
      <c r="A519" s="4">
        <v>45541</v>
      </c>
      <c r="B519" s="9">
        <v>6.79504462321069</v>
      </c>
    </row>
    <row r="520" spans="1:2">
      <c r="A520" s="4">
        <v>45544</v>
      </c>
      <c r="B520" s="9">
        <v>12.6601583521424</v>
      </c>
    </row>
    <row r="521" spans="1:2">
      <c r="A521" s="4">
        <v>45545</v>
      </c>
      <c r="B521" s="9">
        <v>11.1223755455476</v>
      </c>
    </row>
    <row r="522" spans="1:2">
      <c r="A522" s="4">
        <v>45546</v>
      </c>
      <c r="B522" s="9">
        <v>10.4088493018857</v>
      </c>
    </row>
    <row r="523" spans="1:2">
      <c r="A523" s="4">
        <v>45547</v>
      </c>
      <c r="B523" s="9">
        <v>0.384783742027327</v>
      </c>
    </row>
    <row r="524" spans="1:2">
      <c r="A524" s="4">
        <v>45548</v>
      </c>
      <c r="B524" s="9">
        <v>-5.11648361528812</v>
      </c>
    </row>
    <row r="525" spans="1:2">
      <c r="A525" s="4">
        <v>45553</v>
      </c>
      <c r="B525" s="9">
        <v>-11.1135530063055</v>
      </c>
    </row>
    <row r="526" spans="1:2">
      <c r="A526" s="4">
        <v>45554</v>
      </c>
      <c r="B526" s="9">
        <v>-14.2935240960022</v>
      </c>
    </row>
    <row r="527" spans="1:2">
      <c r="A527" s="4">
        <v>45555</v>
      </c>
      <c r="B527" s="9">
        <v>14.2676059949596</v>
      </c>
    </row>
    <row r="528" spans="1:2">
      <c r="A528" s="4">
        <v>45558</v>
      </c>
      <c r="B528" s="9">
        <v>11.9831605205299</v>
      </c>
    </row>
    <row r="529" spans="1:2">
      <c r="A529" s="4">
        <v>45559</v>
      </c>
      <c r="B529" s="9">
        <v>-4.09345631673168</v>
      </c>
    </row>
    <row r="530" spans="1:2">
      <c r="A530" s="4">
        <v>45560</v>
      </c>
      <c r="B530" s="9">
        <v>4.04554335681995</v>
      </c>
    </row>
    <row r="531" spans="1:2">
      <c r="A531" s="4">
        <v>45561</v>
      </c>
      <c r="B531" s="9">
        <v>-27.0423784780063</v>
      </c>
    </row>
    <row r="532" spans="1:2">
      <c r="A532" s="4">
        <v>45562</v>
      </c>
      <c r="B532" s="9">
        <v>-99.8919506497748</v>
      </c>
    </row>
    <row r="533" spans="1:2">
      <c r="A533" s="4">
        <v>45565</v>
      </c>
      <c r="B533" s="9">
        <v>-45.794968905865</v>
      </c>
    </row>
    <row r="534" spans="1:2">
      <c r="A534" s="4">
        <v>45573</v>
      </c>
      <c r="B534" s="9">
        <v>-7.9788965643166</v>
      </c>
    </row>
    <row r="535" spans="1:2">
      <c r="A535" s="4">
        <v>45574</v>
      </c>
      <c r="B535" s="9">
        <v>-12.2329057963677</v>
      </c>
    </row>
    <row r="536" spans="1:2">
      <c r="A536" s="4">
        <v>45575</v>
      </c>
      <c r="B536" s="9">
        <v>-5.98142446028704</v>
      </c>
    </row>
    <row r="537" spans="1:2">
      <c r="A537" s="4">
        <v>45576</v>
      </c>
      <c r="B537" s="9">
        <v>-4.80176554328375</v>
      </c>
    </row>
    <row r="538" spans="1:2">
      <c r="A538" s="4">
        <v>45579</v>
      </c>
      <c r="B538" s="9">
        <v>2.45407728964308</v>
      </c>
    </row>
    <row r="539" spans="1:2">
      <c r="A539" s="4">
        <v>45580</v>
      </c>
      <c r="B539" s="9">
        <v>29.2525163260636</v>
      </c>
    </row>
    <row r="540" spans="1:2">
      <c r="A540" s="4">
        <v>45581</v>
      </c>
      <c r="B540" s="9">
        <v>-4.44313337766814</v>
      </c>
    </row>
    <row r="541" spans="1:2">
      <c r="A541" s="4">
        <v>45582</v>
      </c>
      <c r="B541" s="9">
        <v>35.4522162456358</v>
      </c>
    </row>
    <row r="542" spans="1:2">
      <c r="A542" s="4">
        <v>45583</v>
      </c>
      <c r="B542" s="9">
        <v>2.02610677654425</v>
      </c>
    </row>
    <row r="543" spans="1:2">
      <c r="A543" s="4">
        <v>45586</v>
      </c>
      <c r="B543" s="9">
        <v>3.59948803548436</v>
      </c>
    </row>
    <row r="544" spans="1:2">
      <c r="A544" s="4">
        <v>45587</v>
      </c>
      <c r="B544" s="9">
        <v>3.6871518773955</v>
      </c>
    </row>
    <row r="545" spans="1:2">
      <c r="A545" s="4">
        <v>45588</v>
      </c>
      <c r="B545" s="9">
        <v>3.68108436326525</v>
      </c>
    </row>
    <row r="546" spans="1:2">
      <c r="A546" s="4">
        <v>45589</v>
      </c>
      <c r="B546" s="9">
        <v>3.0090657371859</v>
      </c>
    </row>
    <row r="547" spans="1:2">
      <c r="A547" s="4">
        <v>45590</v>
      </c>
      <c r="B547" s="9">
        <v>-0.458359904716416</v>
      </c>
    </row>
    <row r="548" spans="1:2">
      <c r="A548" s="4">
        <v>45593</v>
      </c>
      <c r="B548" s="9">
        <v>3.91392128396965</v>
      </c>
    </row>
    <row r="549" spans="1:2">
      <c r="A549" s="4">
        <v>45594</v>
      </c>
      <c r="B549" s="9">
        <v>3.51763867724967</v>
      </c>
    </row>
    <row r="550" spans="1:2">
      <c r="A550" s="4">
        <v>45595</v>
      </c>
      <c r="B550" s="9">
        <v>4.84700225859779</v>
      </c>
    </row>
    <row r="551" spans="1:2">
      <c r="A551" s="4">
        <v>45596</v>
      </c>
      <c r="B551" s="9">
        <v>5.86161316083469</v>
      </c>
    </row>
    <row r="552" spans="1:2">
      <c r="A552" s="4">
        <v>45597</v>
      </c>
      <c r="B552" s="9">
        <v>4.7112524291747</v>
      </c>
    </row>
    <row r="553" spans="1:2">
      <c r="A553" s="4">
        <v>45600</v>
      </c>
      <c r="B553" s="9">
        <v>2.04282183917253</v>
      </c>
    </row>
    <row r="554" spans="1:2">
      <c r="A554" s="4">
        <v>45601</v>
      </c>
      <c r="B554" s="9">
        <v>0.603379465128128</v>
      </c>
    </row>
    <row r="555" spans="1:2">
      <c r="A555" s="4">
        <v>45602</v>
      </c>
      <c r="B555" s="9">
        <v>3.00869801374419</v>
      </c>
    </row>
    <row r="556" spans="1:2">
      <c r="A556" s="4">
        <v>45603</v>
      </c>
      <c r="B556" s="9">
        <v>1.81986992727493</v>
      </c>
    </row>
    <row r="557" spans="1:2">
      <c r="A557" s="4">
        <v>45604</v>
      </c>
      <c r="B557" s="9">
        <v>5.18812396360213</v>
      </c>
    </row>
    <row r="558" spans="1:2">
      <c r="A558" s="4">
        <v>45607</v>
      </c>
      <c r="B558" s="9">
        <v>11.2232516686084</v>
      </c>
    </row>
    <row r="559" spans="1:2">
      <c r="A559" s="4">
        <v>45608</v>
      </c>
      <c r="B559" s="9">
        <v>11.1772392476485</v>
      </c>
    </row>
    <row r="560" spans="1:2">
      <c r="A560" s="4">
        <v>45609</v>
      </c>
      <c r="B560" s="9">
        <v>10.6179406259588</v>
      </c>
    </row>
    <row r="561" spans="1:2">
      <c r="A561" s="4">
        <v>45610</v>
      </c>
      <c r="B561" s="9">
        <v>4.81122847874391</v>
      </c>
    </row>
    <row r="562" spans="1:2">
      <c r="A562" s="4">
        <v>45611</v>
      </c>
      <c r="B562" s="9">
        <v>3.53386437720017</v>
      </c>
    </row>
    <row r="563" spans="1:2">
      <c r="A563" s="4">
        <v>45614</v>
      </c>
      <c r="B563" s="9">
        <v>3.407381995949</v>
      </c>
    </row>
    <row r="564" spans="1:2">
      <c r="A564" s="4">
        <v>45615</v>
      </c>
      <c r="B564" s="9">
        <v>6.33548596850406</v>
      </c>
    </row>
    <row r="565" spans="1:2">
      <c r="A565" s="4">
        <v>45616</v>
      </c>
      <c r="B565" s="9">
        <v>10.4339465700095</v>
      </c>
    </row>
    <row r="566" spans="1:2">
      <c r="A566" s="4">
        <v>45617</v>
      </c>
      <c r="B566" s="9">
        <v>13.6034145289795</v>
      </c>
    </row>
    <row r="567" spans="1:2">
      <c r="A567" s="4">
        <v>45618</v>
      </c>
      <c r="B567" s="9">
        <v>15.6522508883633</v>
      </c>
    </row>
    <row r="568" spans="1:2">
      <c r="A568" s="4">
        <v>45621</v>
      </c>
      <c r="B568" s="9">
        <v>12.2536843937242</v>
      </c>
    </row>
    <row r="569" spans="1:2">
      <c r="A569" s="4">
        <v>45622</v>
      </c>
      <c r="B569" s="9">
        <v>14.8636168504685</v>
      </c>
    </row>
    <row r="570" spans="1:2">
      <c r="A570" s="4">
        <v>45623</v>
      </c>
      <c r="B570" s="9">
        <v>7.2327885455248</v>
      </c>
    </row>
    <row r="571" spans="1:2">
      <c r="A571" s="4">
        <v>45624</v>
      </c>
      <c r="B571" s="9">
        <v>11.9088433553507</v>
      </c>
    </row>
    <row r="572" spans="1:2">
      <c r="A572" s="4">
        <v>45625</v>
      </c>
      <c r="B572" s="9">
        <v>8.36335560443118</v>
      </c>
    </row>
    <row r="573" spans="1:2">
      <c r="A573" s="4">
        <v>45628</v>
      </c>
      <c r="B573" s="9">
        <v>12.3563003975259</v>
      </c>
    </row>
    <row r="574" spans="1:2">
      <c r="A574" s="4">
        <v>45629</v>
      </c>
      <c r="B574" s="9">
        <v>10.7301916160575</v>
      </c>
    </row>
    <row r="575" spans="1:2">
      <c r="A575" s="4">
        <v>45630</v>
      </c>
      <c r="B575" s="9">
        <v>10.2724523834604</v>
      </c>
    </row>
    <row r="576" spans="1:2">
      <c r="A576" s="4">
        <v>45631</v>
      </c>
      <c r="B576" s="9">
        <v>9.943593511012</v>
      </c>
    </row>
    <row r="577" spans="1:2">
      <c r="A577" s="4">
        <v>45632</v>
      </c>
      <c r="B577" s="9">
        <v>5.73445097520713</v>
      </c>
    </row>
    <row r="578" spans="1:2">
      <c r="A578" s="4">
        <v>45635</v>
      </c>
      <c r="B578" s="9">
        <v>15.5760767490904</v>
      </c>
    </row>
    <row r="579" spans="1:2">
      <c r="A579" s="4">
        <v>45636</v>
      </c>
      <c r="B579" s="9">
        <v>1.66801486698263</v>
      </c>
    </row>
    <row r="580" spans="1:2">
      <c r="A580" s="4">
        <v>45637</v>
      </c>
      <c r="B580" s="9">
        <v>8.32431881108062</v>
      </c>
    </row>
    <row r="581" spans="1:2">
      <c r="A581" s="4">
        <v>45638</v>
      </c>
      <c r="B581" s="9">
        <v>6.79354128941631</v>
      </c>
    </row>
    <row r="582" spans="1:2">
      <c r="A582" s="4">
        <v>45639</v>
      </c>
      <c r="B582" s="9">
        <v>-2.63028283886325</v>
      </c>
    </row>
    <row r="583" spans="1:2">
      <c r="A583" s="4">
        <v>45642</v>
      </c>
      <c r="B583" s="9">
        <v>11.2434596345609</v>
      </c>
    </row>
    <row r="584" spans="1:2">
      <c r="A584" s="4">
        <v>45643</v>
      </c>
      <c r="B584" s="9">
        <v>0.349531203378114</v>
      </c>
    </row>
    <row r="585" spans="1:2">
      <c r="A585" s="4">
        <v>45644</v>
      </c>
      <c r="B585" s="9">
        <v>8.16095002587989</v>
      </c>
    </row>
    <row r="586" spans="1:2">
      <c r="A586" s="4">
        <v>45645</v>
      </c>
      <c r="B586" s="9">
        <v>-21.7767754413423</v>
      </c>
    </row>
    <row r="587" spans="1:2">
      <c r="A587" s="4">
        <v>45646</v>
      </c>
      <c r="B587" s="9">
        <v>8.82036502048152</v>
      </c>
    </row>
    <row r="588" spans="1:2">
      <c r="A588" s="4">
        <v>45649</v>
      </c>
      <c r="B588" s="9">
        <v>7.73362257852302</v>
      </c>
    </row>
    <row r="589" spans="1:2">
      <c r="A589" s="4">
        <v>45650</v>
      </c>
      <c r="B589" s="9">
        <v>7.89487992548657</v>
      </c>
    </row>
    <row r="590" spans="1:2">
      <c r="A590" s="4">
        <v>45651</v>
      </c>
      <c r="B590" s="9">
        <v>6.80383338215571</v>
      </c>
    </row>
    <row r="591" spans="1:2">
      <c r="A591" s="4">
        <v>45652</v>
      </c>
      <c r="B591" s="9">
        <v>7.94302722466495</v>
      </c>
    </row>
    <row r="592" spans="1:2">
      <c r="A592" s="4">
        <v>45653</v>
      </c>
      <c r="B592" s="9">
        <v>7.81401047898273</v>
      </c>
    </row>
    <row r="593" spans="1:2">
      <c r="A593" s="4">
        <v>45656</v>
      </c>
      <c r="B593" s="9">
        <v>6.76379731763121</v>
      </c>
    </row>
    <row r="594" spans="1:2">
      <c r="A594" s="4">
        <v>45657</v>
      </c>
      <c r="B594" s="9">
        <v>8.80541834172528</v>
      </c>
    </row>
    <row r="595" spans="1:2">
      <c r="A595" s="4">
        <v>45659</v>
      </c>
      <c r="B595" s="9">
        <v>8.26048465115552</v>
      </c>
    </row>
    <row r="596" spans="1:2">
      <c r="A596" s="4">
        <v>45660</v>
      </c>
      <c r="B596" s="9">
        <v>6.38278506629711</v>
      </c>
    </row>
    <row r="597" spans="1:2">
      <c r="A597" s="4">
        <v>45663</v>
      </c>
      <c r="B597" s="9">
        <v>7.35409911471413</v>
      </c>
    </row>
    <row r="598" spans="1:2">
      <c r="A598" s="4">
        <v>45664</v>
      </c>
      <c r="B598" s="9">
        <v>8.51344081440502</v>
      </c>
    </row>
    <row r="599" spans="1:2">
      <c r="A599" s="4">
        <v>45665</v>
      </c>
      <c r="B599" s="9">
        <v>9.05467740616157</v>
      </c>
    </row>
    <row r="600" spans="1:2">
      <c r="A600" s="4">
        <v>45666</v>
      </c>
      <c r="B600" s="9">
        <v>10.6898365937788</v>
      </c>
    </row>
    <row r="601" spans="1:2">
      <c r="A601" s="4">
        <v>45667</v>
      </c>
      <c r="B601" s="9">
        <v>8.90864143810201</v>
      </c>
    </row>
    <row r="602" spans="1:2">
      <c r="A602" s="4">
        <v>45670</v>
      </c>
      <c r="B602" s="9">
        <v>8.04038226484777</v>
      </c>
    </row>
    <row r="603" spans="1:2">
      <c r="A603" s="4">
        <v>45671</v>
      </c>
      <c r="B603" s="9">
        <v>6.34861558479457</v>
      </c>
    </row>
    <row r="604" spans="1:2">
      <c r="A604" s="4">
        <v>45672</v>
      </c>
      <c r="B604" s="9">
        <v>7.54109124395948</v>
      </c>
    </row>
    <row r="605" spans="1:2">
      <c r="A605" s="4">
        <v>45673</v>
      </c>
      <c r="B605" s="9">
        <v>8.50366895007478</v>
      </c>
    </row>
    <row r="606" spans="1:2">
      <c r="A606" s="4">
        <v>45674</v>
      </c>
      <c r="B606" s="9">
        <v>6.80165824547424</v>
      </c>
    </row>
    <row r="607" spans="1:2">
      <c r="A607" s="4">
        <v>45677</v>
      </c>
      <c r="B607" s="9">
        <v>6.84181248691481</v>
      </c>
    </row>
    <row r="608" spans="1:2">
      <c r="A608" s="4">
        <v>45678</v>
      </c>
      <c r="B608" s="9">
        <v>6.95122946124236</v>
      </c>
    </row>
    <row r="609" spans="1:2">
      <c r="A609" s="4">
        <v>45679</v>
      </c>
      <c r="B609" s="9">
        <v>5.6700320879602</v>
      </c>
    </row>
    <row r="610" spans="1:2">
      <c r="A610" s="4">
        <v>45680</v>
      </c>
      <c r="B610" s="9">
        <v>6.29427119700922</v>
      </c>
    </row>
    <row r="611" spans="1:2">
      <c r="A611" s="4">
        <v>45681</v>
      </c>
      <c r="B611" s="9">
        <v>2.18083322704089</v>
      </c>
    </row>
    <row r="612" spans="1:2">
      <c r="A612" s="4">
        <v>45684</v>
      </c>
      <c r="B612" s="9">
        <v>6.97660908291721</v>
      </c>
    </row>
    <row r="613" spans="1:2">
      <c r="A613" s="4">
        <v>45693</v>
      </c>
      <c r="B613" s="9">
        <v>6.34206522696422</v>
      </c>
    </row>
    <row r="614" spans="1:2">
      <c r="A614" s="4">
        <v>45694</v>
      </c>
      <c r="B614" s="9">
        <v>6.88347779664969</v>
      </c>
    </row>
    <row r="615" spans="1:2">
      <c r="A615" s="4">
        <v>45695</v>
      </c>
      <c r="B615" s="9">
        <v>5.08195417418743</v>
      </c>
    </row>
    <row r="616" spans="1:2">
      <c r="A616" s="4">
        <v>45698</v>
      </c>
      <c r="B616" s="9">
        <v>8.98298476796022</v>
      </c>
    </row>
    <row r="617" spans="1:2">
      <c r="A617" s="4">
        <v>45699</v>
      </c>
      <c r="B617" s="9">
        <v>7.93441861697661</v>
      </c>
    </row>
    <row r="618" spans="1:2">
      <c r="A618" s="4">
        <v>45700</v>
      </c>
      <c r="B618" s="9">
        <v>8.75305666450091</v>
      </c>
    </row>
    <row r="619" spans="1:2">
      <c r="A619" s="4">
        <v>45701</v>
      </c>
      <c r="B619" s="9">
        <v>5.5886160390874</v>
      </c>
    </row>
    <row r="620" spans="1:2">
      <c r="A620" s="4">
        <v>45702</v>
      </c>
      <c r="B620" s="9">
        <v>6.71425207372673</v>
      </c>
    </row>
    <row r="621" spans="1:2">
      <c r="A621" s="4">
        <v>45705</v>
      </c>
      <c r="B621" s="9">
        <v>9.92838441650973</v>
      </c>
    </row>
    <row r="622" spans="1:2">
      <c r="A622" s="4">
        <v>45706</v>
      </c>
      <c r="B622" s="9">
        <v>5.41647712897367</v>
      </c>
    </row>
    <row r="623" spans="1:2">
      <c r="A623" s="4">
        <v>45707</v>
      </c>
      <c r="B623" s="9">
        <v>8.38811636926199</v>
      </c>
    </row>
    <row r="624" spans="1:2">
      <c r="A624" s="4">
        <v>45708</v>
      </c>
      <c r="B624" s="9">
        <v>14.354182818306</v>
      </c>
    </row>
    <row r="625" spans="1:2">
      <c r="A625" s="4">
        <v>45709</v>
      </c>
      <c r="B625" s="9">
        <v>9.27167096197963</v>
      </c>
    </row>
    <row r="626" spans="1:2">
      <c r="A626" s="4">
        <v>45712</v>
      </c>
      <c r="B626" s="9">
        <v>18.8395625418131</v>
      </c>
    </row>
    <row r="627" spans="1:2">
      <c r="A627" s="4">
        <v>45713</v>
      </c>
      <c r="B627" s="9">
        <v>16.3626288369224</v>
      </c>
    </row>
    <row r="628" spans="1:2">
      <c r="A628" s="4">
        <v>45714</v>
      </c>
      <c r="B628" s="9">
        <v>22.055159070742</v>
      </c>
    </row>
    <row r="629" spans="1:2">
      <c r="A629" s="4">
        <v>45715</v>
      </c>
      <c r="B629" s="9">
        <v>19.1258396646606</v>
      </c>
    </row>
    <row r="630" spans="1:2">
      <c r="A630" s="4">
        <v>45716</v>
      </c>
      <c r="B630" s="9">
        <v>9.97207148179876</v>
      </c>
    </row>
    <row r="631" spans="1:2">
      <c r="A631" s="4">
        <v>45719</v>
      </c>
      <c r="B631" s="9">
        <v>15.4800143373818</v>
      </c>
    </row>
    <row r="632" spans="1:2">
      <c r="A632" s="4">
        <v>45720</v>
      </c>
      <c r="B632" s="9">
        <v>22.0285727466732</v>
      </c>
    </row>
    <row r="633" spans="1:2">
      <c r="A633" s="4">
        <v>45721</v>
      </c>
      <c r="B633" s="9">
        <v>25.619136598458</v>
      </c>
    </row>
    <row r="634" spans="1:2">
      <c r="A634" s="4">
        <v>45722</v>
      </c>
      <c r="B634" s="9">
        <v>18.8636067571897</v>
      </c>
    </row>
    <row r="635" spans="1:2">
      <c r="A635" s="4">
        <v>45723</v>
      </c>
      <c r="B635" s="9">
        <v>19.1954269675583</v>
      </c>
    </row>
    <row r="636" spans="1:2">
      <c r="A636" s="4">
        <v>45726</v>
      </c>
      <c r="B636" s="9">
        <v>35.873675283863</v>
      </c>
    </row>
    <row r="637" spans="1:2">
      <c r="A637" s="4">
        <v>45727</v>
      </c>
      <c r="B637" s="9">
        <v>26.1737745295723</v>
      </c>
    </row>
    <row r="638" spans="1:2">
      <c r="A638" s="4">
        <v>45728</v>
      </c>
      <c r="B638" s="9">
        <v>25.3008222409612</v>
      </c>
    </row>
    <row r="639" spans="1:2">
      <c r="A639" s="4">
        <v>45729</v>
      </c>
      <c r="B639" s="9">
        <v>22.5606054143869</v>
      </c>
    </row>
    <row r="640" spans="1:2">
      <c r="A640" s="4">
        <v>45730</v>
      </c>
      <c r="B640" s="9">
        <v>5.30771733972221</v>
      </c>
    </row>
    <row r="641" spans="1:2">
      <c r="A641" s="4">
        <v>45733</v>
      </c>
      <c r="B641" s="9">
        <v>35.0292443409206</v>
      </c>
    </row>
    <row r="642" spans="1:2">
      <c r="A642" s="4">
        <v>45734</v>
      </c>
      <c r="B642" s="9">
        <v>33.0144900435446</v>
      </c>
    </row>
    <row r="643" spans="1:2">
      <c r="A643" s="4">
        <v>45735</v>
      </c>
      <c r="B643" s="9">
        <v>18.6308997263084</v>
      </c>
    </row>
    <row r="644" spans="1:2">
      <c r="A644" s="4">
        <v>45736</v>
      </c>
      <c r="B644" s="9">
        <v>1.64956343798641</v>
      </c>
    </row>
    <row r="645" spans="1:2">
      <c r="A645" s="4">
        <v>45737</v>
      </c>
      <c r="B645" s="9">
        <v>14.6011205427017</v>
      </c>
    </row>
    <row r="646" spans="1:2">
      <c r="A646" s="4">
        <v>45740</v>
      </c>
      <c r="B646" s="9">
        <v>14.2511484551594</v>
      </c>
    </row>
    <row r="647" spans="1:2">
      <c r="A647" s="4">
        <v>45741</v>
      </c>
      <c r="B647" s="9">
        <v>13.1040633482676</v>
      </c>
    </row>
    <row r="648" spans="1:2">
      <c r="A648" s="4">
        <v>45742</v>
      </c>
      <c r="B648" s="9">
        <v>13.9829827627029</v>
      </c>
    </row>
    <row r="649" spans="1:2">
      <c r="A649" s="4">
        <v>45743</v>
      </c>
      <c r="B649" s="9">
        <v>12.8462784163752</v>
      </c>
    </row>
    <row r="650" spans="1:2">
      <c r="A650" s="4">
        <v>45744</v>
      </c>
      <c r="B650" s="9">
        <v>13.5261633657959</v>
      </c>
    </row>
    <row r="651" spans="1:2">
      <c r="A651" s="4">
        <v>45747</v>
      </c>
      <c r="B651" s="9">
        <v>12.968365028947</v>
      </c>
    </row>
    <row r="652" spans="1:2">
      <c r="A652" s="4">
        <v>45748</v>
      </c>
      <c r="B652" s="9">
        <v>14.4435499084871</v>
      </c>
    </row>
    <row r="653" spans="1:2">
      <c r="A653" s="4">
        <v>45749</v>
      </c>
      <c r="B653" s="9">
        <v>13.3195273751039</v>
      </c>
    </row>
    <row r="654" spans="1:2">
      <c r="A654" s="4">
        <v>45750</v>
      </c>
      <c r="B654" s="9">
        <v>13.2883822159875</v>
      </c>
    </row>
    <row r="655" spans="1:2">
      <c r="A655" s="4">
        <v>45754</v>
      </c>
      <c r="B655" s="9">
        <v>5.69376283618316</v>
      </c>
    </row>
    <row r="656" spans="1:2">
      <c r="A656" s="4">
        <v>45755</v>
      </c>
      <c r="B656" s="9">
        <v>19.5676456006325</v>
      </c>
    </row>
    <row r="657" spans="1:2">
      <c r="A657" s="4">
        <v>45756</v>
      </c>
      <c r="B657" s="9">
        <v>20.1046121036601</v>
      </c>
    </row>
    <row r="658" spans="1:2">
      <c r="A658" s="4">
        <v>45757</v>
      </c>
      <c r="B658" s="9">
        <v>18.5825496859732</v>
      </c>
    </row>
    <row r="659" spans="1:2">
      <c r="A659" s="4">
        <v>45758</v>
      </c>
      <c r="B659" s="9">
        <v>17.2388263457405</v>
      </c>
    </row>
    <row r="660" spans="1:2">
      <c r="A660" s="4">
        <v>45761</v>
      </c>
      <c r="B660" s="9">
        <v>22.4699104929289</v>
      </c>
    </row>
    <row r="661" spans="1:2">
      <c r="A661" s="4">
        <v>45762</v>
      </c>
      <c r="B661" s="9">
        <v>21.9467431501205</v>
      </c>
    </row>
    <row r="662" spans="1:2">
      <c r="A662" s="4">
        <v>45763</v>
      </c>
      <c r="B662" s="9">
        <v>22.6234851958973</v>
      </c>
    </row>
    <row r="663" spans="1:2">
      <c r="A663" s="4">
        <v>45764</v>
      </c>
      <c r="B663" s="9">
        <v>18.4949200473447</v>
      </c>
    </row>
    <row r="664" spans="1:2">
      <c r="A664" s="4">
        <v>45765</v>
      </c>
      <c r="B664" s="9">
        <v>19.3612707581436</v>
      </c>
    </row>
    <row r="665" spans="1:2">
      <c r="A665" s="4">
        <v>45768</v>
      </c>
      <c r="B665" s="9">
        <v>18.7083910558172</v>
      </c>
    </row>
    <row r="666" spans="1:2">
      <c r="A666" s="4">
        <v>45769</v>
      </c>
      <c r="B666" s="9">
        <v>18.8795245292468</v>
      </c>
    </row>
    <row r="667" spans="1:2">
      <c r="A667" s="4">
        <v>45770</v>
      </c>
      <c r="B667" s="9">
        <v>17.628982687001</v>
      </c>
    </row>
    <row r="668" spans="1:2">
      <c r="A668" s="4">
        <v>45771</v>
      </c>
      <c r="B668" s="9">
        <v>17.0102741995716</v>
      </c>
    </row>
    <row r="669" spans="1:2">
      <c r="A669" s="4">
        <v>45772</v>
      </c>
      <c r="B669" s="9">
        <v>17.3940892671339</v>
      </c>
    </row>
    <row r="670" spans="1:2">
      <c r="A670" s="4">
        <v>45775</v>
      </c>
      <c r="B670" s="9">
        <v>17.4946559700196</v>
      </c>
    </row>
    <row r="671" spans="1:2">
      <c r="A671" s="4">
        <v>45776</v>
      </c>
      <c r="B671" s="9">
        <v>15.703010529433</v>
      </c>
    </row>
    <row r="672" spans="1:2">
      <c r="A672" s="4">
        <v>45777</v>
      </c>
      <c r="B672" s="9">
        <v>18.3779014097532</v>
      </c>
    </row>
    <row r="673" spans="1:2">
      <c r="A673" s="4">
        <v>45783</v>
      </c>
      <c r="B673" s="9">
        <v>18.5854958452334</v>
      </c>
    </row>
    <row r="674" spans="1:2">
      <c r="A674" s="4">
        <v>45784</v>
      </c>
      <c r="B674" s="9">
        <v>19.9795899762392</v>
      </c>
    </row>
    <row r="675" spans="1:2">
      <c r="A675" s="4">
        <v>45785</v>
      </c>
      <c r="B675" s="9">
        <v>18.2395375334139</v>
      </c>
    </row>
    <row r="676" spans="1:2">
      <c r="A676" s="4">
        <v>45786</v>
      </c>
      <c r="B676" s="9">
        <v>18.7547765649602</v>
      </c>
    </row>
    <row r="677" spans="1:2">
      <c r="A677" s="4">
        <v>45789</v>
      </c>
      <c r="B677" s="9">
        <v>18.2353875893036</v>
      </c>
    </row>
    <row r="678" spans="1:2">
      <c r="A678" s="4">
        <v>45790</v>
      </c>
      <c r="B678" s="9">
        <v>22.4135381571238</v>
      </c>
    </row>
    <row r="679" spans="1:2">
      <c r="A679" s="4">
        <v>45791</v>
      </c>
      <c r="B679" s="9">
        <v>17.641091921504</v>
      </c>
    </row>
    <row r="680" spans="1:2">
      <c r="A680" s="4">
        <v>45792</v>
      </c>
      <c r="B680" s="9">
        <v>17.1503827803477</v>
      </c>
    </row>
    <row r="681" spans="1:2">
      <c r="A681" s="4">
        <v>45793</v>
      </c>
      <c r="B681" s="9">
        <v>22.1347925670181</v>
      </c>
    </row>
    <row r="682" spans="1:2">
      <c r="A682" s="4">
        <v>45796</v>
      </c>
      <c r="B682" s="9">
        <v>20.4966965539401</v>
      </c>
    </row>
    <row r="683" spans="1:2">
      <c r="A683" s="4">
        <v>45797</v>
      </c>
      <c r="B683" s="9">
        <v>22.3928355693727</v>
      </c>
    </row>
    <row r="684" spans="1:2">
      <c r="A684" s="4">
        <v>45798</v>
      </c>
      <c r="B684" s="9">
        <v>24.3834538540766</v>
      </c>
    </row>
    <row r="685" spans="1:2">
      <c r="A685" s="4">
        <v>45799</v>
      </c>
      <c r="B685" s="9">
        <v>22.7852995427124</v>
      </c>
    </row>
    <row r="686" spans="1:2">
      <c r="A686" s="4">
        <v>45800</v>
      </c>
      <c r="B686" s="9">
        <v>24.5579259456338</v>
      </c>
    </row>
    <row r="687" spans="1:2">
      <c r="A687" s="4">
        <v>45803</v>
      </c>
      <c r="B687" s="9">
        <v>22.6514352358159</v>
      </c>
    </row>
    <row r="688" spans="1:2">
      <c r="A688" s="4">
        <v>45804</v>
      </c>
      <c r="B688" s="9">
        <v>21.603775148215</v>
      </c>
    </row>
    <row r="689" spans="1:2">
      <c r="A689" s="4">
        <v>45805</v>
      </c>
      <c r="B689" s="9">
        <v>20.9994280781165</v>
      </c>
    </row>
    <row r="690" spans="1:2">
      <c r="A690" s="4">
        <v>45806</v>
      </c>
      <c r="B690" s="9">
        <v>15.0302394527253</v>
      </c>
    </row>
    <row r="691" spans="1:2">
      <c r="A691" s="4">
        <v>45807</v>
      </c>
      <c r="B691" s="9">
        <v>16.7481661692381</v>
      </c>
    </row>
    <row r="692" spans="1:2">
      <c r="A692" s="4">
        <v>45811</v>
      </c>
      <c r="B692" s="9">
        <v>21.1921520569929</v>
      </c>
    </row>
    <row r="693" spans="1:2">
      <c r="A693" s="4">
        <v>45812</v>
      </c>
      <c r="B693" s="9">
        <v>21.7245370411081</v>
      </c>
    </row>
    <row r="694" spans="1:2">
      <c r="A694" s="4">
        <v>45813</v>
      </c>
      <c r="B694" s="9">
        <v>22.0983804768602</v>
      </c>
    </row>
    <row r="695" spans="1:2">
      <c r="A695" s="4">
        <v>45814</v>
      </c>
      <c r="B695" s="9">
        <v>19.4457728026837</v>
      </c>
    </row>
    <row r="696" spans="1:2">
      <c r="A696" s="4">
        <v>45817</v>
      </c>
      <c r="B696" s="9">
        <v>20.5676148262451</v>
      </c>
    </row>
    <row r="697" spans="1:2">
      <c r="A697" s="4">
        <v>45818</v>
      </c>
      <c r="B697" s="9">
        <v>21.5903452679214</v>
      </c>
    </row>
    <row r="698" spans="1:2">
      <c r="A698" s="4">
        <v>45819</v>
      </c>
      <c r="B698" s="9">
        <v>21.4742363233358</v>
      </c>
    </row>
    <row r="699" spans="1:2">
      <c r="A699" s="4">
        <v>45820</v>
      </c>
      <c r="B699" s="9">
        <v>20.4288607316924</v>
      </c>
    </row>
    <row r="700" spans="1:2">
      <c r="A700" s="4">
        <v>45821</v>
      </c>
      <c r="B700" s="9">
        <v>14.8817217733997</v>
      </c>
    </row>
    <row r="701" spans="1:2">
      <c r="A701" s="4">
        <v>45824</v>
      </c>
      <c r="B701" s="9">
        <v>16.3156815985792</v>
      </c>
    </row>
    <row r="702" spans="1:2">
      <c r="A702" s="4">
        <v>45825</v>
      </c>
      <c r="B702" s="9">
        <v>11.6710687626429</v>
      </c>
    </row>
    <row r="703" spans="1:2">
      <c r="A703" s="4">
        <v>45826</v>
      </c>
      <c r="B703" s="9">
        <v>15.1930136161937</v>
      </c>
    </row>
    <row r="704" spans="1:2">
      <c r="A704" s="4">
        <v>45827</v>
      </c>
      <c r="B704" s="9">
        <v>-4.49656769508321</v>
      </c>
    </row>
    <row r="705" spans="1:2">
      <c r="A705" s="4">
        <v>45828</v>
      </c>
      <c r="B705" s="9">
        <v>13.3715797965033</v>
      </c>
    </row>
    <row r="706" spans="1:2">
      <c r="A706" s="4">
        <v>45831</v>
      </c>
      <c r="B706" s="9">
        <v>14.365434817309</v>
      </c>
    </row>
    <row r="707" spans="1:2">
      <c r="A707" s="4">
        <v>45832</v>
      </c>
      <c r="B707" s="9">
        <v>12.5905950780882</v>
      </c>
    </row>
    <row r="708" spans="1:2">
      <c r="A708" s="4">
        <v>45833</v>
      </c>
      <c r="B708" s="9">
        <v>9.89909429912761</v>
      </c>
    </row>
    <row r="709" spans="1:2">
      <c r="A709" s="4">
        <v>45834</v>
      </c>
      <c r="B709" s="9">
        <v>9.68026010080745</v>
      </c>
    </row>
    <row r="710" spans="1:2">
      <c r="A710" s="4">
        <v>45835</v>
      </c>
      <c r="B710" s="9">
        <v>10.84749681617</v>
      </c>
    </row>
    <row r="711" spans="1:2">
      <c r="A711" s="4">
        <v>45838</v>
      </c>
      <c r="B711" s="9">
        <v>13.6075741472845</v>
      </c>
    </row>
    <row r="712" spans="1:2">
      <c r="A712" s="4">
        <v>45839</v>
      </c>
      <c r="B712" s="9">
        <v>15.9796852792123</v>
      </c>
    </row>
    <row r="713" spans="1:2">
      <c r="A713" s="4">
        <v>45840</v>
      </c>
      <c r="B713" s="9">
        <v>13.1495881460103</v>
      </c>
    </row>
    <row r="714" spans="1:2">
      <c r="A714" s="4">
        <v>45841</v>
      </c>
      <c r="B714" s="9">
        <v>14.3029479299672</v>
      </c>
    </row>
    <row r="715" spans="1:2">
      <c r="A715" s="4">
        <v>45842</v>
      </c>
      <c r="B715" s="9">
        <v>14.1447109598221</v>
      </c>
    </row>
    <row r="716" spans="1:2">
      <c r="A716" s="4">
        <v>45845</v>
      </c>
      <c r="B716" s="9">
        <v>15.4844508279765</v>
      </c>
    </row>
    <row r="717" spans="1:2">
      <c r="A717" s="4">
        <v>45846</v>
      </c>
      <c r="B717" s="9">
        <v>12.4197843266234</v>
      </c>
    </row>
    <row r="718" spans="1:2">
      <c r="A718" s="4">
        <v>45847</v>
      </c>
      <c r="B718" s="9">
        <v>13.0254115911003</v>
      </c>
    </row>
    <row r="719" spans="1:2">
      <c r="A719" s="4">
        <v>45848</v>
      </c>
      <c r="B719" s="9">
        <v>13.130133088028</v>
      </c>
    </row>
    <row r="720" spans="1:2">
      <c r="A720" s="4">
        <v>45849</v>
      </c>
      <c r="B720" s="9">
        <v>10.7202429988086</v>
      </c>
    </row>
    <row r="721" spans="1:2">
      <c r="A721" s="4">
        <v>45852</v>
      </c>
      <c r="B721" s="9">
        <v>12.3876153727251</v>
      </c>
    </row>
    <row r="722" spans="1:2">
      <c r="A722" s="4">
        <v>45853</v>
      </c>
      <c r="B722" s="9">
        <v>13.1006172191952</v>
      </c>
    </row>
    <row r="723" spans="1:2">
      <c r="A723" s="4">
        <v>45854</v>
      </c>
      <c r="B723" s="9">
        <v>13.2232507121436</v>
      </c>
    </row>
    <row r="724" spans="1:2">
      <c r="A724" s="4">
        <v>45855</v>
      </c>
      <c r="B724" s="9">
        <v>11.8231111293964</v>
      </c>
    </row>
    <row r="725" spans="1:2">
      <c r="A725" s="4">
        <v>45856</v>
      </c>
      <c r="B725" s="9">
        <v>11.4860824061007</v>
      </c>
    </row>
    <row r="726" spans="1:2">
      <c r="A726" s="4">
        <v>45859</v>
      </c>
      <c r="B726" s="9">
        <v>12.5237836649137</v>
      </c>
    </row>
    <row r="727" spans="1:2">
      <c r="A727" s="4">
        <v>45860</v>
      </c>
      <c r="B727" s="9">
        <v>10.4186586677594</v>
      </c>
    </row>
    <row r="728" spans="1:2">
      <c r="A728" s="4">
        <v>45861</v>
      </c>
      <c r="B728" s="9">
        <v>9.43471071075667</v>
      </c>
    </row>
    <row r="729" spans="1:2">
      <c r="A729" s="4">
        <v>45862</v>
      </c>
      <c r="B729" s="9">
        <v>7.32997582777914</v>
      </c>
    </row>
    <row r="730" spans="1:2">
      <c r="A730" s="4">
        <v>45863</v>
      </c>
      <c r="B730" s="9">
        <v>9.16549375571283</v>
      </c>
    </row>
    <row r="731" spans="1:2">
      <c r="A731" s="4">
        <v>45866</v>
      </c>
      <c r="B731" s="9">
        <v>11.8851596713749</v>
      </c>
    </row>
    <row r="732" spans="1:2">
      <c r="A732" s="4">
        <v>45867</v>
      </c>
      <c r="B732" s="9">
        <v>10.5878255299112</v>
      </c>
    </row>
    <row r="733" spans="1:2">
      <c r="A733" s="4">
        <v>45868</v>
      </c>
      <c r="B733" s="9">
        <v>11.1908406758253</v>
      </c>
    </row>
    <row r="734" spans="1:2">
      <c r="A734" s="4">
        <v>45869</v>
      </c>
      <c r="B734" s="9">
        <v>12.4953598983495</v>
      </c>
    </row>
    <row r="735" spans="1:2">
      <c r="A735" s="4">
        <v>45870</v>
      </c>
      <c r="B735" s="9">
        <v>13.291579832898</v>
      </c>
    </row>
    <row r="736" spans="1:2">
      <c r="A736" s="4">
        <v>45873</v>
      </c>
      <c r="B736" s="9">
        <v>10.2901668153833</v>
      </c>
    </row>
    <row r="737" spans="1:2">
      <c r="A737" s="4">
        <v>45874</v>
      </c>
      <c r="B737" s="9">
        <v>11.426811990576</v>
      </c>
    </row>
    <row r="738" spans="1:2">
      <c r="A738" s="4">
        <v>45875</v>
      </c>
      <c r="B738" s="9">
        <v>10.8987396023481</v>
      </c>
    </row>
    <row r="739" spans="1:2">
      <c r="A739" s="4">
        <v>45876</v>
      </c>
      <c r="B739" s="9">
        <v>12.768149480184</v>
      </c>
    </row>
    <row r="740" spans="1:2">
      <c r="A740" s="4">
        <v>45877</v>
      </c>
      <c r="B740" s="9">
        <v>12.1625759395925</v>
      </c>
    </row>
    <row r="741" spans="1:2">
      <c r="A741" s="4">
        <v>45880</v>
      </c>
      <c r="B741" s="9">
        <v>11.1292058743739</v>
      </c>
    </row>
    <row r="742" spans="1:2">
      <c r="A742" s="4">
        <v>45881</v>
      </c>
      <c r="B742" s="9">
        <v>9.90506218684524</v>
      </c>
    </row>
    <row r="743" spans="1:2">
      <c r="A743" s="4">
        <v>45882</v>
      </c>
      <c r="B743" s="9">
        <v>7.90362404666543</v>
      </c>
    </row>
    <row r="744" spans="1:2">
      <c r="A744" s="4">
        <v>45883</v>
      </c>
      <c r="B744" s="9">
        <v>6.27604109119705</v>
      </c>
    </row>
    <row r="745" spans="1:2">
      <c r="A745" s="4">
        <v>45884</v>
      </c>
      <c r="B745" s="9">
        <v>4.22859366702285</v>
      </c>
    </row>
    <row r="746" spans="1:2">
      <c r="A746" s="4">
        <v>45887</v>
      </c>
      <c r="B746" s="9">
        <v>7.35074980223432</v>
      </c>
    </row>
    <row r="747" spans="1:2">
      <c r="A747" s="4">
        <v>45888</v>
      </c>
      <c r="B747" s="9">
        <v>9.41293330403001</v>
      </c>
    </row>
    <row r="748" spans="1:2">
      <c r="A748" s="4">
        <v>45889</v>
      </c>
      <c r="B748" s="9">
        <v>4.38345381063246</v>
      </c>
    </row>
    <row r="749" spans="1:2">
      <c r="A749" s="4">
        <v>45890</v>
      </c>
      <c r="B749" s="9">
        <v>8.01243407618046</v>
      </c>
    </row>
    <row r="750" spans="1:2">
      <c r="A750" s="4">
        <v>45891</v>
      </c>
      <c r="B750" s="9">
        <v>2.31849686515853</v>
      </c>
    </row>
    <row r="751" spans="1:2">
      <c r="A751" s="4">
        <v>45894</v>
      </c>
      <c r="B751" s="9">
        <v>10.953861921696</v>
      </c>
    </row>
    <row r="752" spans="1:2">
      <c r="A752" s="4">
        <v>45895</v>
      </c>
      <c r="B752" s="9">
        <v>10.7472656266544</v>
      </c>
    </row>
    <row r="753" spans="1:2">
      <c r="A753" s="4">
        <v>45896</v>
      </c>
      <c r="B753" s="9">
        <v>9.33376795756258</v>
      </c>
    </row>
    <row r="754" spans="1:2">
      <c r="A754" s="4">
        <v>45897</v>
      </c>
      <c r="B754" s="9">
        <v>16.5698108696356</v>
      </c>
    </row>
    <row r="755" spans="1:2">
      <c r="A755" s="4">
        <v>45898</v>
      </c>
      <c r="B755" s="9">
        <v>15.1397685760425</v>
      </c>
    </row>
    <row r="756" spans="1:2">
      <c r="A756" s="4">
        <v>45901</v>
      </c>
      <c r="B756" s="9">
        <v>26.7844102393406</v>
      </c>
    </row>
    <row r="757" spans="1:2">
      <c r="A757" s="4">
        <v>45902</v>
      </c>
      <c r="B757" s="9">
        <v>15.2553333761171</v>
      </c>
    </row>
    <row r="758" spans="1:2">
      <c r="A758" s="4">
        <v>45903</v>
      </c>
      <c r="B758" s="9">
        <v>17.1513026063675</v>
      </c>
    </row>
    <row r="759" spans="1:2">
      <c r="A759" s="4">
        <v>45904</v>
      </c>
      <c r="B759" s="9">
        <v>11.2891052826983</v>
      </c>
    </row>
    <row r="760" spans="1:2">
      <c r="A760" s="4">
        <v>45905</v>
      </c>
      <c r="B760" s="9">
        <v>6.16889063114936</v>
      </c>
    </row>
    <row r="761" spans="1:2">
      <c r="A761" s="4">
        <v>45908</v>
      </c>
      <c r="B761" s="9">
        <v>25.6578949438113</v>
      </c>
    </row>
    <row r="762" spans="1:2">
      <c r="A762" s="4">
        <v>45909</v>
      </c>
      <c r="B762" s="9">
        <v>23.1523007677739</v>
      </c>
    </row>
    <row r="763" spans="1:2">
      <c r="A763" s="4">
        <v>45910</v>
      </c>
      <c r="B763" s="9">
        <v>34.2176532887661</v>
      </c>
    </row>
    <row r="764" spans="1:2">
      <c r="A764" s="4">
        <v>45911</v>
      </c>
      <c r="B764" s="9">
        <v>5.83281233749142</v>
      </c>
    </row>
    <row r="765" spans="1:2">
      <c r="A765" s="4">
        <v>45912</v>
      </c>
      <c r="B765" s="9">
        <v>16.8871910044383</v>
      </c>
    </row>
    <row r="766" spans="1:2">
      <c r="A766" s="4">
        <v>45915</v>
      </c>
      <c r="B766" s="9">
        <v>31.6705883920388</v>
      </c>
    </row>
    <row r="767" spans="1:2">
      <c r="A767" s="4">
        <v>45916</v>
      </c>
      <c r="B767" s="9">
        <v>18.0629296896391</v>
      </c>
    </row>
    <row r="768" spans="1:2">
      <c r="A768" s="4">
        <v>45917</v>
      </c>
      <c r="B768" s="9">
        <v>8.61757544170245</v>
      </c>
    </row>
    <row r="769" spans="1:2">
      <c r="A769" s="4">
        <v>45918</v>
      </c>
      <c r="B769" s="9">
        <v>36.1169717733207</v>
      </c>
    </row>
    <row r="770" spans="1:2">
      <c r="A770" s="4">
        <v>45919</v>
      </c>
      <c r="B770" s="9">
        <v>13.858027694296</v>
      </c>
    </row>
    <row r="771" spans="1:2">
      <c r="A771" s="4">
        <v>45922</v>
      </c>
      <c r="B771" s="9">
        <v>14.6690761286606</v>
      </c>
    </row>
    <row r="772" spans="1:2">
      <c r="A772" s="4">
        <v>45923</v>
      </c>
      <c r="B772" s="9">
        <v>16.3538531434501</v>
      </c>
    </row>
    <row r="773" spans="1:2">
      <c r="A773" s="4">
        <v>45924</v>
      </c>
      <c r="B773" s="9">
        <v>13.4487099186652</v>
      </c>
    </row>
    <row r="774" spans="1:2">
      <c r="A774" s="4">
        <v>45925</v>
      </c>
      <c r="B774" s="9">
        <v>13.3641337506197</v>
      </c>
    </row>
    <row r="775" spans="1:2">
      <c r="A775" s="4">
        <v>45926</v>
      </c>
      <c r="B775" s="9">
        <v>12.8045028486516</v>
      </c>
    </row>
    <row r="776" spans="1:2">
      <c r="A776" s="4">
        <v>45929</v>
      </c>
      <c r="B776" s="9">
        <v>9.90600088208426</v>
      </c>
    </row>
    <row r="777" spans="1:2">
      <c r="A777" s="4">
        <v>45930</v>
      </c>
      <c r="B777" s="9">
        <v>10.5089932186015</v>
      </c>
    </row>
    <row r="778" spans="1:2">
      <c r="A778" s="4">
        <v>45939</v>
      </c>
      <c r="B778" s="9">
        <v>12.4750401635439</v>
      </c>
    </row>
    <row r="779" spans="1:2">
      <c r="A779" s="4">
        <v>45940</v>
      </c>
      <c r="B779" s="9">
        <v>12.5850860853187</v>
      </c>
    </row>
    <row r="780" spans="1:2">
      <c r="A780" s="4">
        <v>45943</v>
      </c>
      <c r="B780" s="9">
        <v>14.2267504260373</v>
      </c>
    </row>
    <row r="781" spans="1:2">
      <c r="A781" s="4">
        <v>45944</v>
      </c>
      <c r="B781" s="9">
        <v>15.7322156469472</v>
      </c>
    </row>
    <row r="782" spans="1:2">
      <c r="A782" s="4">
        <v>45945</v>
      </c>
      <c r="B782" s="9">
        <v>14.4937208542924</v>
      </c>
    </row>
    <row r="783" spans="1:2">
      <c r="A783" s="4">
        <v>45946</v>
      </c>
      <c r="B783" s="9">
        <v>14.1452440522154</v>
      </c>
    </row>
    <row r="784" spans="1:2">
      <c r="A784" s="4">
        <v>45947</v>
      </c>
      <c r="B784" s="9">
        <v>12.4555340849629</v>
      </c>
    </row>
    <row r="785" spans="1:2">
      <c r="A785" s="4">
        <v>45950</v>
      </c>
      <c r="B785" s="9">
        <v>13.8125211325791</v>
      </c>
    </row>
    <row r="786" spans="1:2">
      <c r="A786" s="4">
        <v>45951</v>
      </c>
      <c r="B786" s="9">
        <v>12.4750702841382</v>
      </c>
    </row>
    <row r="787" spans="1:2">
      <c r="A787" s="4">
        <v>45952</v>
      </c>
      <c r="B787" s="9">
        <v>11.8478163141147</v>
      </c>
    </row>
    <row r="788" spans="1:2">
      <c r="A788" s="4">
        <v>45953</v>
      </c>
      <c r="B788" s="9">
        <v>10.5150135215408</v>
      </c>
    </row>
    <row r="789" spans="1:2">
      <c r="A789" s="4">
        <v>45954</v>
      </c>
      <c r="B789" s="9">
        <v>9.96381708441113</v>
      </c>
    </row>
    <row r="790" spans="1:2">
      <c r="A790" s="4">
        <v>45957</v>
      </c>
      <c r="B790" s="9">
        <v>14.4074607073786</v>
      </c>
    </row>
    <row r="791" spans="1:2">
      <c r="A791" s="4">
        <v>45958</v>
      </c>
      <c r="B791" s="9">
        <v>12.3094027559479</v>
      </c>
    </row>
    <row r="792" spans="1:2">
      <c r="A792" s="4">
        <v>45959</v>
      </c>
      <c r="B792" s="9">
        <v>10.666352286674</v>
      </c>
    </row>
    <row r="793" spans="1:2">
      <c r="A793" s="4">
        <v>45960</v>
      </c>
      <c r="B793" s="9">
        <v>10.8941696670937</v>
      </c>
    </row>
    <row r="794" spans="1:2">
      <c r="A794" s="4">
        <v>45961</v>
      </c>
      <c r="B794" s="9">
        <v>12.8103217191094</v>
      </c>
    </row>
    <row r="795" spans="1:2">
      <c r="A795" s="4">
        <v>45964</v>
      </c>
      <c r="B795" s="9">
        <v>13.2770733374773</v>
      </c>
    </row>
    <row r="796" spans="1:2">
      <c r="A796" s="4">
        <v>45965</v>
      </c>
      <c r="B796" s="9">
        <v>14.9645878867514</v>
      </c>
    </row>
    <row r="797" spans="1:2">
      <c r="A797" s="4">
        <v>45966</v>
      </c>
      <c r="B797" s="9">
        <v>15.6351887941557</v>
      </c>
    </row>
    <row r="798" spans="1:2">
      <c r="A798" s="4">
        <v>45967</v>
      </c>
      <c r="B798" s="9">
        <v>15.1898097406828</v>
      </c>
    </row>
    <row r="799" spans="1:2">
      <c r="A799" s="4">
        <v>45968</v>
      </c>
      <c r="B799" s="9">
        <v>13.8878304025397</v>
      </c>
    </row>
    <row r="800" spans="1:2">
      <c r="A800" s="4">
        <v>45971</v>
      </c>
      <c r="B800" s="9">
        <v>15.6737551284422</v>
      </c>
    </row>
    <row r="801" spans="1:2">
      <c r="A801" s="4">
        <v>45972</v>
      </c>
      <c r="B801" s="9">
        <v>17.192813564665</v>
      </c>
    </row>
    <row r="802" spans="1:2">
      <c r="A802" s="4">
        <v>45973</v>
      </c>
      <c r="B802" s="9">
        <v>13.903421583146</v>
      </c>
    </row>
    <row r="803" spans="1:2">
      <c r="A803" s="4">
        <v>45974</v>
      </c>
      <c r="B803" s="9">
        <v>13.6836704275596</v>
      </c>
    </row>
    <row r="804" spans="1:2">
      <c r="A804" s="4">
        <v>45975</v>
      </c>
      <c r="B804" s="9">
        <v>16.7575200930941</v>
      </c>
    </row>
    <row r="805" spans="1:2">
      <c r="A805" s="4">
        <v>45978</v>
      </c>
      <c r="B805" s="9">
        <v>17.104147747654</v>
      </c>
    </row>
    <row r="806" spans="1:2">
      <c r="A806" s="4">
        <v>45979</v>
      </c>
      <c r="B806" s="9">
        <v>13.4682965774975</v>
      </c>
    </row>
    <row r="807" spans="1:2">
      <c r="A807" s="4">
        <v>45980</v>
      </c>
      <c r="B807" s="9">
        <v>13.0967282403412</v>
      </c>
    </row>
    <row r="808" spans="1:2">
      <c r="A808" s="4">
        <v>45981</v>
      </c>
      <c r="B808" s="9">
        <v>11.891177054077</v>
      </c>
    </row>
    <row r="809" spans="1:2">
      <c r="A809" s="4">
        <v>45982</v>
      </c>
      <c r="B809" s="9">
        <v>8.33823136840124</v>
      </c>
    </row>
    <row r="810" spans="1:2">
      <c r="A810" s="4">
        <v>45985</v>
      </c>
      <c r="B810" s="9">
        <v>10.6912042542009</v>
      </c>
    </row>
    <row r="811" spans="1:2">
      <c r="A811" s="4">
        <v>45986</v>
      </c>
      <c r="B811" s="9">
        <v>14.1465823501265</v>
      </c>
    </row>
    <row r="812" spans="1:2">
      <c r="A812" s="4">
        <v>45987</v>
      </c>
      <c r="B812" s="9">
        <v>13.8437472387293</v>
      </c>
    </row>
    <row r="813" spans="1:2">
      <c r="A813" s="4">
        <v>45988</v>
      </c>
      <c r="B813" s="9">
        <v>15.897245702386</v>
      </c>
    </row>
    <row r="814" spans="1:2">
      <c r="A814" s="4">
        <v>45989</v>
      </c>
      <c r="B814" s="9">
        <v>15.6394023271519</v>
      </c>
    </row>
    <row r="815" spans="1:2">
      <c r="A815" s="4">
        <v>45992</v>
      </c>
      <c r="B815" s="9">
        <v>21.8142849928456</v>
      </c>
    </row>
    <row r="816" spans="1:2">
      <c r="A816" s="4">
        <v>45993</v>
      </c>
      <c r="B816" s="9">
        <v>17.9660997878467</v>
      </c>
    </row>
    <row r="817" spans="1:2">
      <c r="A817" s="4">
        <v>45994</v>
      </c>
      <c r="B817" s="9">
        <v>14.0282733835353</v>
      </c>
    </row>
    <row r="818" spans="1:2">
      <c r="A818" s="4">
        <v>45995</v>
      </c>
      <c r="B818" s="9">
        <v>10.1332847303091</v>
      </c>
    </row>
    <row r="819" spans="1:2">
      <c r="A819" s="4">
        <v>45996</v>
      </c>
      <c r="B819" s="9">
        <v>7.0239958796057</v>
      </c>
    </row>
    <row r="820" spans="1:2">
      <c r="A820" s="4">
        <v>45999</v>
      </c>
      <c r="B820" s="9">
        <v>14.3627692900524</v>
      </c>
    </row>
    <row r="821" spans="1:2">
      <c r="A821" s="4">
        <v>46000</v>
      </c>
      <c r="B821" s="9">
        <v>12.3384929901242</v>
      </c>
    </row>
    <row r="822" spans="1:2">
      <c r="A822" s="4">
        <v>46001</v>
      </c>
      <c r="B822" s="9">
        <v>15.5418491812386</v>
      </c>
    </row>
    <row r="823" spans="1:2">
      <c r="A823" s="4">
        <v>46002</v>
      </c>
      <c r="B823" s="9">
        <v>3.6120686418706</v>
      </c>
    </row>
    <row r="824" spans="1:2">
      <c r="A824" s="4">
        <v>46003</v>
      </c>
      <c r="B824" s="9">
        <v>5.16758944338939</v>
      </c>
    </row>
    <row r="825" spans="1:2">
      <c r="A825" s="4">
        <v>46006</v>
      </c>
      <c r="B825" s="9">
        <v>0.737097123406016</v>
      </c>
    </row>
    <row r="826" spans="1:2">
      <c r="A826" s="4">
        <v>46007</v>
      </c>
      <c r="B826" s="9">
        <v>-6.42264558692895</v>
      </c>
    </row>
    <row r="827" spans="1:2">
      <c r="A827" s="4">
        <v>46008</v>
      </c>
      <c r="B827" s="9">
        <v>-7.15898927035143</v>
      </c>
    </row>
    <row r="828" spans="1:2">
      <c r="A828" s="4">
        <v>46009</v>
      </c>
      <c r="B828" s="9">
        <v>-5.15235515570428</v>
      </c>
    </row>
    <row r="829" spans="1:2">
      <c r="A829" s="4">
        <v>46010</v>
      </c>
      <c r="B829" s="9">
        <v>11.0558100680857</v>
      </c>
    </row>
    <row r="830" spans="1:2">
      <c r="A830" s="4">
        <v>46013</v>
      </c>
      <c r="B830" s="9">
        <v>12.1217436823652</v>
      </c>
    </row>
    <row r="831" spans="1:2">
      <c r="A831" s="4">
        <v>46014</v>
      </c>
      <c r="B831" s="9">
        <v>11.7772899619492</v>
      </c>
    </row>
    <row r="832" spans="1:2">
      <c r="A832" s="4">
        <v>46015</v>
      </c>
      <c r="B832" s="9">
        <v>10.8260250041748</v>
      </c>
    </row>
    <row r="833" spans="1:2">
      <c r="A833" s="4">
        <v>46016</v>
      </c>
      <c r="B833" s="9">
        <v>9.79626198316606</v>
      </c>
    </row>
    <row r="834" spans="1:2">
      <c r="A834" s="4">
        <v>46017</v>
      </c>
      <c r="B834" s="9">
        <v>8.25677151588212</v>
      </c>
    </row>
    <row r="835" spans="1:2">
      <c r="A835" s="4">
        <v>46020</v>
      </c>
      <c r="B835" s="9">
        <v>9.82267643554628</v>
      </c>
    </row>
    <row r="836" spans="1:2">
      <c r="A836" s="4">
        <v>46021</v>
      </c>
      <c r="B836" s="9">
        <v>8.91048097952893</v>
      </c>
    </row>
    <row r="837" spans="1:2">
      <c r="A837" s="4">
        <v>46022</v>
      </c>
      <c r="B837" s="9">
        <v>10.4725833508936</v>
      </c>
    </row>
    <row r="838" spans="1:2">
      <c r="A838" s="4">
        <v>46027</v>
      </c>
      <c r="B838" s="9">
        <v>7.55908588963967</v>
      </c>
    </row>
    <row r="839" spans="1:2">
      <c r="A839" s="4">
        <v>46028</v>
      </c>
      <c r="B839" s="9">
        <v>6.78802838188709</v>
      </c>
    </row>
    <row r="840" spans="1:2">
      <c r="A840" s="4">
        <v>46029</v>
      </c>
      <c r="B840" s="9">
        <v>9.83712465583038</v>
      </c>
    </row>
    <row r="841" spans="1:2">
      <c r="A841" s="4">
        <v>46030</v>
      </c>
      <c r="B841" s="9">
        <v>10.2939425471056</v>
      </c>
    </row>
    <row r="842" spans="1:2">
      <c r="A842" s="4">
        <v>46031</v>
      </c>
      <c r="B842" s="9">
        <v>5.52078842952871</v>
      </c>
    </row>
    <row r="843" spans="1:2">
      <c r="A843" s="4">
        <v>46034</v>
      </c>
      <c r="B843" s="9">
        <v>3.10100960556938</v>
      </c>
    </row>
    <row r="844" spans="1:2">
      <c r="A844" s="4">
        <v>46035</v>
      </c>
      <c r="B844" s="9">
        <v>3.0286713542079</v>
      </c>
    </row>
    <row r="845" spans="1:2">
      <c r="A845" s="4">
        <v>46036</v>
      </c>
      <c r="B845" s="9">
        <v>7.29319837269584</v>
      </c>
    </row>
    <row r="846" spans="1:2">
      <c r="A846" s="4">
        <v>46037</v>
      </c>
      <c r="B846" s="9">
        <v>3.35742009297641</v>
      </c>
    </row>
    <row r="847" spans="1:2">
      <c r="A847" s="4">
        <v>46038</v>
      </c>
      <c r="B847" s="9">
        <v>4.06375714308992</v>
      </c>
    </row>
    <row r="848" spans="1:2">
      <c r="A848" s="4">
        <v>46041</v>
      </c>
      <c r="B848" s="9">
        <v>6.13026976954812</v>
      </c>
    </row>
    <row r="849" spans="1:2">
      <c r="A849" s="4">
        <v>46042</v>
      </c>
      <c r="B849" s="9">
        <v>4.98096793347711</v>
      </c>
    </row>
    <row r="850" spans="1:2">
      <c r="A850" s="4">
        <v>46043</v>
      </c>
      <c r="B850" s="9">
        <v>1.36646128467973</v>
      </c>
    </row>
    <row r="851" spans="1:2">
      <c r="A851" s="4">
        <v>46044</v>
      </c>
      <c r="B851" s="9">
        <v>1.39949515264945</v>
      </c>
    </row>
    <row r="852" spans="1:2">
      <c r="A852" s="4">
        <v>46045</v>
      </c>
      <c r="B852" s="9">
        <v>-3.86677124757671</v>
      </c>
    </row>
    <row r="853" spans="1:2">
      <c r="A853" s="4">
        <v>46048</v>
      </c>
      <c r="B853" s="9">
        <v>6.70076125893565</v>
      </c>
    </row>
    <row r="854" spans="1:2">
      <c r="A854" s="4">
        <v>46049</v>
      </c>
      <c r="B854" s="9">
        <v>2.25526955603575</v>
      </c>
    </row>
    <row r="855" spans="1:2">
      <c r="A855" s="4">
        <v>46050</v>
      </c>
      <c r="B855" s="9">
        <v>2.04560453019694</v>
      </c>
    </row>
    <row r="856" spans="1:2">
      <c r="A856" s="4">
        <v>46051</v>
      </c>
      <c r="B856" s="9">
        <v>0.310367766932293</v>
      </c>
    </row>
    <row r="857" spans="1:2">
      <c r="A857" s="4">
        <v>46052</v>
      </c>
      <c r="B857" s="9">
        <v>-0.579426320919496</v>
      </c>
    </row>
    <row r="858" spans="1:2">
      <c r="A858" s="4">
        <v>46055</v>
      </c>
      <c r="B858" s="9">
        <v>11.2012468821655</v>
      </c>
    </row>
    <row r="859" spans="1:2">
      <c r="A859" s="4">
        <v>46056</v>
      </c>
      <c r="B859" s="9">
        <v>2.8388570545928</v>
      </c>
    </row>
    <row r="860" spans="1:2">
      <c r="A860" s="4">
        <v>46057</v>
      </c>
      <c r="B860" s="9">
        <v>0.419723617579118</v>
      </c>
    </row>
    <row r="861" spans="1:2">
      <c r="A861" s="4">
        <v>46058</v>
      </c>
      <c r="B861" s="9">
        <v>3.36996481644554</v>
      </c>
    </row>
    <row r="862" spans="1:2">
      <c r="A862" s="4">
        <v>46059</v>
      </c>
      <c r="B862" s="9">
        <v>7.54811400732044</v>
      </c>
    </row>
    <row r="863" spans="1:2">
      <c r="A863" s="4">
        <v>46062</v>
      </c>
      <c r="B863" s="9">
        <v>0.149068360673847</v>
      </c>
    </row>
    <row r="864" spans="1:2">
      <c r="A864" s="4">
        <v>46063</v>
      </c>
      <c r="B864" s="9">
        <v>2.80623520697096</v>
      </c>
    </row>
    <row r="865" spans="1:2">
      <c r="A865" s="4">
        <v>46064</v>
      </c>
      <c r="B865" s="9">
        <v>-0.205081626459208</v>
      </c>
    </row>
    <row r="866" spans="1:2">
      <c r="A866" s="4">
        <v>46065</v>
      </c>
      <c r="B866" s="9">
        <v>-3.31705001644091</v>
      </c>
    </row>
    <row r="867" spans="1:2">
      <c r="A867" s="4">
        <v>46066</v>
      </c>
      <c r="B867" s="9">
        <v>2.41159797911224</v>
      </c>
    </row>
    <row r="868" spans="1:2">
      <c r="A868" s="4">
        <v>46077</v>
      </c>
      <c r="B868" s="9">
        <v>4.561080460313</v>
      </c>
    </row>
    <row r="869" spans="1:2">
      <c r="A869" s="4">
        <v>46078</v>
      </c>
      <c r="B869" s="9">
        <v>3.41709929793521</v>
      </c>
    </row>
    <row r="870" spans="1:2">
      <c r="A870" s="4">
        <v>46079</v>
      </c>
      <c r="B870" s="9">
        <v>8.17811042812556</v>
      </c>
    </row>
    <row r="871" spans="1:2">
      <c r="A871" s="4">
        <v>46080</v>
      </c>
      <c r="B871" s="9">
        <v>5.37390472384902</v>
      </c>
    </row>
    <row r="872" spans="1:2">
      <c r="A872" s="4">
        <v>46083</v>
      </c>
      <c r="B872" s="9">
        <v>10.4528369921705</v>
      </c>
    </row>
    <row r="873" spans="1:2">
      <c r="A873" s="4">
        <v>46084</v>
      </c>
      <c r="B873" s="9">
        <v>2.86281724347741</v>
      </c>
    </row>
    <row r="874" spans="1:2">
      <c r="A874" s="4">
        <v>46085</v>
      </c>
      <c r="B874" s="9">
        <v>7.2029515427648</v>
      </c>
    </row>
    <row r="875" spans="1:2">
      <c r="A875" s="4">
        <v>46086</v>
      </c>
      <c r="B875" s="9">
        <v>10.4839266779856</v>
      </c>
    </row>
    <row r="876" spans="1:2">
      <c r="A876" s="4">
        <v>46087</v>
      </c>
      <c r="B876" s="9">
        <v>10.2099270594366</v>
      </c>
    </row>
    <row r="877" spans="1:2">
      <c r="A877" s="4">
        <v>46090</v>
      </c>
      <c r="B877" s="9">
        <v>3.92153399529691</v>
      </c>
    </row>
    <row r="878" spans="1:2">
      <c r="A878" s="4">
        <v>46091</v>
      </c>
      <c r="B878" s="9">
        <v>12.1387918999093</v>
      </c>
    </row>
    <row r="879" spans="1:2">
      <c r="A879" s="4">
        <v>46092</v>
      </c>
      <c r="B879" s="9">
        <v>18.8789239400004</v>
      </c>
    </row>
    <row r="880" spans="1:2">
      <c r="A880" s="4">
        <v>46093</v>
      </c>
      <c r="B880" s="9">
        <v>25.1527151350828</v>
      </c>
    </row>
    <row r="881" spans="1:2">
      <c r="A881" s="4">
        <v>46094</v>
      </c>
      <c r="B881" s="9">
        <v>13.844060858834</v>
      </c>
    </row>
    <row r="882" spans="1:2">
      <c r="A882" s="4">
        <v>46097</v>
      </c>
      <c r="B882" s="9">
        <v>14.8280702676511</v>
      </c>
    </row>
    <row r="883" spans="1:2">
      <c r="A883" s="4">
        <v>46098</v>
      </c>
      <c r="B883" s="9">
        <v>4.56437383564769</v>
      </c>
    </row>
    <row r="884" spans="1:2">
      <c r="A884" s="4">
        <v>46099</v>
      </c>
      <c r="B884" s="9">
        <v>16.6683241535897</v>
      </c>
    </row>
    <row r="885" spans="1:2">
      <c r="A885" s="4">
        <v>46100</v>
      </c>
      <c r="B885" s="9">
        <v>-23.0200855220589</v>
      </c>
    </row>
    <row r="886" spans="1:2">
      <c r="A886" s="4">
        <v>46101</v>
      </c>
      <c r="B886" s="9">
        <v>11.5751672930007</v>
      </c>
    </row>
    <row r="887" spans="1:2">
      <c r="A887" s="4">
        <v>46104</v>
      </c>
      <c r="B887" s="9">
        <v>12.1199317645764</v>
      </c>
    </row>
    <row r="888" spans="1:2">
      <c r="A888" s="4">
        <v>46105</v>
      </c>
      <c r="B888" s="9">
        <v>11.7123252686593</v>
      </c>
    </row>
    <row r="889" spans="1:2">
      <c r="A889" s="4">
        <v>46106</v>
      </c>
      <c r="B889" s="9">
        <v>14.9666041121816</v>
      </c>
    </row>
    <row r="890" spans="1:2">
      <c r="A890" s="4">
        <v>46107</v>
      </c>
      <c r="B890" s="9">
        <v>14.8829740746416</v>
      </c>
    </row>
    <row r="891" spans="1:2">
      <c r="A891" s="4">
        <v>46108</v>
      </c>
      <c r="B891" s="9">
        <v>12.5986987167199</v>
      </c>
    </row>
    <row r="892" spans="1:2">
      <c r="A892" s="4">
        <v>46111</v>
      </c>
      <c r="B892" s="9">
        <v>14.8579121758943</v>
      </c>
    </row>
    <row r="893" spans="1:2">
      <c r="A893" s="4">
        <v>46112</v>
      </c>
      <c r="B893" s="9">
        <v>14.343535188492</v>
      </c>
    </row>
    <row r="894" spans="1:2">
      <c r="A894" s="4">
        <v>46113</v>
      </c>
      <c r="B894" s="9">
        <v>14.641870180031</v>
      </c>
    </row>
    <row r="895" spans="1:2">
      <c r="A895" s="4">
        <v>46114</v>
      </c>
      <c r="B895" s="9">
        <v>15.5811380316976</v>
      </c>
    </row>
    <row r="896" spans="1:2">
      <c r="A896" s="4">
        <v>46115</v>
      </c>
      <c r="B896" s="9">
        <v>14.4933687077971</v>
      </c>
    </row>
    <row r="897" spans="1:2">
      <c r="A897" s="4">
        <v>46119</v>
      </c>
      <c r="B897" s="9">
        <v>14.7855472267913</v>
      </c>
    </row>
    <row r="898" spans="1:2">
      <c r="A898" s="4">
        <v>46120</v>
      </c>
      <c r="B898" s="9">
        <v>11.172296066336</v>
      </c>
    </row>
    <row r="899" spans="1:2">
      <c r="A899" s="4">
        <v>46121</v>
      </c>
      <c r="B899" s="9">
        <v>13.6574790722778</v>
      </c>
    </row>
    <row r="900" spans="1:2">
      <c r="A900" s="4">
        <v>46122</v>
      </c>
      <c r="B900" s="9">
        <v>13.8332654850055</v>
      </c>
    </row>
    <row r="901" spans="1:2">
      <c r="A901" s="4">
        <v>46125</v>
      </c>
      <c r="B901" s="9">
        <v>15.2419962818915</v>
      </c>
    </row>
    <row r="902" spans="1:2">
      <c r="A902" s="4">
        <v>46126</v>
      </c>
      <c r="B902" s="9">
        <v>15.4648735344667</v>
      </c>
    </row>
    <row r="903" spans="1:2">
      <c r="A903" s="4">
        <v>46127</v>
      </c>
      <c r="B903" s="9">
        <v>13.8142190368714</v>
      </c>
    </row>
    <row r="904" spans="1:2">
      <c r="A904" s="4">
        <v>46128</v>
      </c>
      <c r="B904" s="9">
        <v>12.4763813940267</v>
      </c>
    </row>
    <row r="905" spans="1:2">
      <c r="A905" s="4">
        <v>46129</v>
      </c>
      <c r="B905" s="9">
        <v>12.2778834926145</v>
      </c>
    </row>
    <row r="906" spans="1:2">
      <c r="A906" s="4">
        <v>46132</v>
      </c>
      <c r="B906" s="9">
        <v>14.1451533784222</v>
      </c>
    </row>
    <row r="907" spans="1:2">
      <c r="A907" s="4">
        <v>46133</v>
      </c>
      <c r="B907" s="9">
        <v>13.227028163497</v>
      </c>
    </row>
    <row r="908" spans="1:2">
      <c r="A908" s="4">
        <v>46134</v>
      </c>
      <c r="B908" s="9">
        <v>11.6757474146145</v>
      </c>
    </row>
    <row r="909" spans="1:2">
      <c r="A909" s="4">
        <v>46135</v>
      </c>
      <c r="B909" s="9">
        <v>11.0027271584915</v>
      </c>
    </row>
    <row r="910" spans="1:2">
      <c r="A910" s="4">
        <v>46136</v>
      </c>
      <c r="B910" s="9">
        <v>11.1818971276137</v>
      </c>
    </row>
    <row r="911" spans="1:2">
      <c r="A911" s="4">
        <v>46139</v>
      </c>
      <c r="B911" s="9">
        <v>11.3056267390653</v>
      </c>
    </row>
    <row r="912" spans="1:2">
      <c r="A912" s="4">
        <v>46140</v>
      </c>
      <c r="B912" s="9">
        <v>10.3906268947681</v>
      </c>
    </row>
    <row r="913" spans="1:2">
      <c r="A913" s="4">
        <v>46141</v>
      </c>
      <c r="B913" s="9">
        <v>8.31016100853799</v>
      </c>
    </row>
    <row r="914" spans="1:2">
      <c r="A914" s="4">
        <v>46142</v>
      </c>
      <c r="B914" s="9">
        <v>9.0132879109671</v>
      </c>
    </row>
    <row r="915" spans="1:2">
      <c r="A915" s="4">
        <v>46148</v>
      </c>
      <c r="B915" s="9">
        <v>9.97981737992562</v>
      </c>
    </row>
    <row r="916" spans="1:2">
      <c r="A916" s="4">
        <v>46149</v>
      </c>
      <c r="B916" s="9">
        <v>7.79142344205238</v>
      </c>
    </row>
    <row r="917" spans="1:2">
      <c r="A917" s="4">
        <v>46150</v>
      </c>
      <c r="B917" s="9">
        <v>9.12911289962119</v>
      </c>
    </row>
    <row r="918" spans="1:2">
      <c r="A918" s="4">
        <v>46153</v>
      </c>
      <c r="B918" s="9">
        <v>13.5129112045556</v>
      </c>
    </row>
    <row r="919" spans="1:2">
      <c r="A919" s="4">
        <v>46154</v>
      </c>
      <c r="B919" s="9">
        <v>11.7348608065045</v>
      </c>
    </row>
    <row r="920" spans="1:2">
      <c r="A920" s="4">
        <v>46155</v>
      </c>
      <c r="B920" s="9">
        <v>8.4592667813636</v>
      </c>
    </row>
    <row r="921" spans="1:2">
      <c r="A921" s="4">
        <v>46156</v>
      </c>
      <c r="B921" s="9">
        <v>9.3775707610855</v>
      </c>
    </row>
    <row r="922" spans="1:2">
      <c r="A922" s="4">
        <v>46157</v>
      </c>
      <c r="B922" s="9">
        <v>11.080182286137</v>
      </c>
    </row>
    <row r="923" spans="1:2">
      <c r="A923" s="4">
        <v>46160</v>
      </c>
      <c r="B923" s="9">
        <v>10.0471396731447</v>
      </c>
    </row>
    <row r="924" spans="1:2">
      <c r="A924" s="4">
        <v>46161</v>
      </c>
      <c r="B924" s="9">
        <v>10.6482165521229</v>
      </c>
    </row>
    <row r="925" spans="1:2">
      <c r="A925" s="4">
        <v>46162</v>
      </c>
      <c r="B925" s="9">
        <v>12.8216902098554</v>
      </c>
    </row>
    <row r="926" spans="1:2">
      <c r="A926" s="4">
        <v>46163</v>
      </c>
      <c r="B926" s="9">
        <v>9.65329401629198</v>
      </c>
    </row>
    <row r="927" spans="1:2">
      <c r="A927" s="4">
        <v>46164</v>
      </c>
      <c r="B927" s="9">
        <v>14.0876154237648</v>
      </c>
    </row>
    <row r="928" spans="1:2">
      <c r="A928" s="4">
        <v>46167</v>
      </c>
      <c r="B928" s="9">
        <v>19.5912484790289</v>
      </c>
    </row>
    <row r="929" spans="1:2">
      <c r="A929" s="4">
        <v>46168</v>
      </c>
      <c r="B929" s="9">
        <v>13.8213398928843</v>
      </c>
    </row>
    <row r="930" spans="1:2">
      <c r="A930" s="4">
        <v>46169</v>
      </c>
      <c r="B930" s="9">
        <v>17.11454738146</v>
      </c>
    </row>
    <row r="931" spans="1:2">
      <c r="A931" s="4">
        <v>46170</v>
      </c>
      <c r="B931" s="9">
        <v>19.2968096356817</v>
      </c>
    </row>
    <row r="932" spans="1:2">
      <c r="A932" s="4">
        <v>46171</v>
      </c>
      <c r="B932" s="9">
        <v>11.8804460996437</v>
      </c>
    </row>
    <row r="933" spans="1:2">
      <c r="A933" s="4">
        <v>46174</v>
      </c>
      <c r="B933" s="9">
        <v>7.85470173253538</v>
      </c>
    </row>
    <row r="934" spans="1:2">
      <c r="A934" s="4">
        <v>46175</v>
      </c>
      <c r="B934" s="9">
        <v>12.8168435178043</v>
      </c>
    </row>
    <row r="935" spans="1:2">
      <c r="A935" s="4">
        <v>46176</v>
      </c>
      <c r="B935" s="9">
        <v>14.6588600773802</v>
      </c>
    </row>
    <row r="936" spans="1:2">
      <c r="A936" s="4">
        <v>46177</v>
      </c>
      <c r="B936" s="9">
        <v>16.1554499241219</v>
      </c>
    </row>
    <row r="937" spans="1:2">
      <c r="A937" s="4">
        <v>46178</v>
      </c>
      <c r="B937" s="9">
        <v>13.3958533136086</v>
      </c>
    </row>
    <row r="938" spans="1:2">
      <c r="A938" s="4">
        <v>46181</v>
      </c>
      <c r="B938" s="9">
        <v>2.61759878228915</v>
      </c>
    </row>
    <row r="939" spans="1:2">
      <c r="A939" s="4">
        <v>46182</v>
      </c>
      <c r="B939" s="9">
        <v>28.4826230054101</v>
      </c>
    </row>
    <row r="940" spans="1:2">
      <c r="A940" s="4">
        <v>46183</v>
      </c>
      <c r="B940" s="9">
        <v>13.9210700514931</v>
      </c>
    </row>
    <row r="941" spans="1:2">
      <c r="A941" s="4">
        <v>46184</v>
      </c>
      <c r="B941" s="9">
        <v>14.468228581015</v>
      </c>
    </row>
    <row r="942" spans="1:2">
      <c r="A942" s="4">
        <v>46185</v>
      </c>
      <c r="B942" s="9">
        <v>3.04728296954192</v>
      </c>
    </row>
    <row r="943" spans="1:2">
      <c r="A943" s="4">
        <v>46188</v>
      </c>
      <c r="B943" s="9">
        <v>27.0107624096181</v>
      </c>
    </row>
    <row r="944" spans="1:2">
      <c r="A944" s="4">
        <v>46189</v>
      </c>
      <c r="B944" s="9">
        <v>31.8075895001611</v>
      </c>
    </row>
    <row r="945" spans="1:2">
      <c r="A945" s="4">
        <v>46190</v>
      </c>
      <c r="B945" s="9">
        <v>9.0640235243786</v>
      </c>
    </row>
    <row r="946" spans="1:2">
      <c r="A946" s="4">
        <v>46191</v>
      </c>
      <c r="B946" s="9">
        <v>7.16050909629245</v>
      </c>
    </row>
    <row r="947" spans="1:2">
      <c r="A947" s="4">
        <v>46195</v>
      </c>
      <c r="B947" s="9">
        <v>14.81409010175</v>
      </c>
    </row>
    <row r="948" spans="1:2">
      <c r="A948" s="4">
        <v>46196</v>
      </c>
      <c r="B948" s="9">
        <v>12.4674838359303</v>
      </c>
    </row>
    <row r="949" spans="1:2">
      <c r="A949" s="4">
        <v>46197</v>
      </c>
      <c r="B949" s="9">
        <v>14.4897380591127</v>
      </c>
    </row>
    <row r="950" spans="1:2">
      <c r="A950" s="4">
        <v>46198</v>
      </c>
      <c r="B950" s="9">
        <v>13.8028239081546</v>
      </c>
    </row>
    <row r="951" spans="1:2">
      <c r="A951" s="4">
        <v>46199</v>
      </c>
      <c r="B951" s="9">
        <v>13.4464983173288</v>
      </c>
    </row>
    <row r="952" spans="1:2">
      <c r="A952" s="4">
        <v>46202</v>
      </c>
      <c r="B952" s="9">
        <v>14.019577881397</v>
      </c>
    </row>
    <row r="953" spans="1:2">
      <c r="A953" s="4">
        <v>46203</v>
      </c>
      <c r="B953" s="9">
        <v>14.6979225508145</v>
      </c>
    </row>
    <row r="954" spans="1:2">
      <c r="A954" s="4">
        <v>46204</v>
      </c>
      <c r="B954" s="9">
        <v>17.4339174241798</v>
      </c>
    </row>
    <row r="955" spans="1:2">
      <c r="A955" s="4">
        <v>46205</v>
      </c>
      <c r="B955" s="9">
        <v>12.9734926141739</v>
      </c>
    </row>
    <row r="956" spans="1:2">
      <c r="A956" s="4">
        <v>46206</v>
      </c>
      <c r="B956" s="9">
        <v>12.8317623650214</v>
      </c>
    </row>
    <row r="957" spans="1:2">
      <c r="A957" s="4">
        <v>46209</v>
      </c>
      <c r="B957" s="9">
        <v>11.1376528935016</v>
      </c>
    </row>
    <row r="958" spans="1:2">
      <c r="A958" s="4">
        <v>46210</v>
      </c>
      <c r="B958" s="9">
        <v>10.4062339296828</v>
      </c>
    </row>
    <row r="959" spans="1:2">
      <c r="A959" s="4">
        <v>46211</v>
      </c>
      <c r="B959" s="9">
        <v>8.3591999496514</v>
      </c>
    </row>
    <row r="960" spans="1:2">
      <c r="A960" s="4">
        <v>46212</v>
      </c>
      <c r="B960" s="9">
        <v>10.002050398031</v>
      </c>
    </row>
    <row r="961" spans="1:2">
      <c r="A961" s="4">
        <v>46213</v>
      </c>
      <c r="B961" s="9">
        <v>10.697317556287</v>
      </c>
    </row>
    <row r="962" spans="1:2">
      <c r="A962" s="4">
        <v>46216</v>
      </c>
      <c r="B962" s="9">
        <v>6.64193978291502</v>
      </c>
    </row>
    <row r="963" spans="1:2">
      <c r="A963" s="4">
        <v>46217</v>
      </c>
      <c r="B963" s="9">
        <v>8.82772602532294</v>
      </c>
    </row>
    <row r="964" spans="1:2">
      <c r="A964" s="4">
        <v>46218</v>
      </c>
      <c r="B964" s="9">
        <v>6.30445113552996</v>
      </c>
    </row>
    <row r="965" spans="1:2">
      <c r="A965" s="4">
        <v>46219</v>
      </c>
      <c r="B965" s="9">
        <v>5.51740896637073</v>
      </c>
    </row>
    <row r="966" spans="1:2">
      <c r="A966" s="4">
        <v>46220</v>
      </c>
      <c r="B966" s="9">
        <v>7.7939967790051</v>
      </c>
    </row>
    <row r="967" spans="1:2">
      <c r="A967" s="4">
        <v>46223</v>
      </c>
      <c r="B967" s="9">
        <v>9.21827120139721</v>
      </c>
    </row>
    <row r="968" spans="1:2">
      <c r="A968" s="4">
        <v>46224</v>
      </c>
      <c r="B968" s="9">
        <v>7.47126232397103</v>
      </c>
    </row>
    <row r="969" spans="1:2">
      <c r="A969" s="4">
        <v>46225</v>
      </c>
      <c r="B969" s="9">
        <v>10.5548161111779</v>
      </c>
    </row>
    <row r="970" spans="1:2">
      <c r="A970" s="4">
        <v>46226</v>
      </c>
      <c r="B970" s="9">
        <v>10.2494370792026</v>
      </c>
    </row>
    <row r="971" spans="1:2">
      <c r="A971" s="4">
        <v>46227</v>
      </c>
      <c r="B971" s="9">
        <v>10.0665682362795</v>
      </c>
    </row>
    <row r="972" spans="1:2">
      <c r="A972" s="4">
        <v>46230</v>
      </c>
      <c r="B972" s="9">
        <v>6.91545203761431</v>
      </c>
    </row>
    <row r="973" spans="1:2">
      <c r="A973" s="4">
        <v>46231</v>
      </c>
      <c r="B973" s="9">
        <v>7.57925101411975</v>
      </c>
    </row>
    <row r="974" spans="1:2">
      <c r="A974" s="4">
        <v>46232</v>
      </c>
      <c r="B974" s="9">
        <v>4.4494862961564</v>
      </c>
    </row>
    <row r="975" spans="1:2">
      <c r="A975" s="4">
        <v>46233</v>
      </c>
      <c r="B975" s="9">
        <v>5.43014225557454</v>
      </c>
    </row>
    <row r="976" spans="1:2">
      <c r="A976" s="4">
        <v>46234</v>
      </c>
      <c r="B976" s="9">
        <v>8.60818821474714</v>
      </c>
    </row>
    <row r="977" spans="1:2">
      <c r="A977" s="4">
        <v>46237</v>
      </c>
      <c r="B977" s="9">
        <v>5.68784129446454</v>
      </c>
    </row>
    <row r="978" spans="1:2">
      <c r="A978" s="4">
        <v>46238</v>
      </c>
      <c r="B978" s="9">
        <v>6.84795355526331</v>
      </c>
    </row>
    <row r="979" spans="1:2">
      <c r="A979" s="4">
        <v>46239</v>
      </c>
      <c r="B979" s="9">
        <v>5.99020901019227</v>
      </c>
    </row>
    <row r="980" spans="1:2">
      <c r="A980" s="4">
        <v>46240</v>
      </c>
      <c r="B980" s="9">
        <v>8.15702414661825</v>
      </c>
    </row>
    <row r="981" spans="1:2">
      <c r="A981" s="4">
        <v>46241</v>
      </c>
      <c r="B981" s="9">
        <v>9.33866346847525</v>
      </c>
    </row>
    <row r="982" spans="1:2">
      <c r="A982" s="4">
        <v>46244</v>
      </c>
      <c r="B982" s="9">
        <v>13.6519638853165</v>
      </c>
    </row>
    <row r="983" spans="1:2">
      <c r="A983" s="4">
        <v>46245</v>
      </c>
      <c r="B983" s="9">
        <v>9.50172593487111</v>
      </c>
    </row>
    <row r="984" spans="1:2">
      <c r="A984" s="4">
        <v>46246</v>
      </c>
      <c r="B984" s="9">
        <v>13.3253522702736</v>
      </c>
    </row>
    <row r="985" spans="1:2">
      <c r="A985" s="4">
        <v>46247</v>
      </c>
      <c r="B985" s="9">
        <v>9.80354865761748</v>
      </c>
    </row>
    <row r="986" spans="1:2">
      <c r="A986" s="4">
        <v>46248</v>
      </c>
      <c r="B986" s="9">
        <v>14.8033814764387</v>
      </c>
    </row>
    <row r="987" spans="1:2">
      <c r="A987" s="4">
        <v>46251</v>
      </c>
      <c r="B987" s="9">
        <v>11.7191907065712</v>
      </c>
    </row>
    <row r="988" spans="1:2">
      <c r="A988" s="4">
        <v>46252</v>
      </c>
      <c r="B988" s="9">
        <v>18.2173712398376</v>
      </c>
    </row>
    <row r="989" spans="1:2">
      <c r="A989" s="4">
        <v>46253</v>
      </c>
      <c r="B989" s="9">
        <v>7.08009596825704</v>
      </c>
    </row>
    <row r="990" spans="1:2">
      <c r="A990" s="4">
        <v>46254</v>
      </c>
      <c r="B990" s="9">
        <v>11.0165049080006</v>
      </c>
    </row>
    <row r="991" spans="1:2">
      <c r="A991" s="4">
        <v>46255</v>
      </c>
      <c r="B991" s="9">
        <v>11.7146998866292</v>
      </c>
    </row>
    <row r="992" spans="1:2">
      <c r="A992" s="4">
        <v>46258</v>
      </c>
      <c r="B992" s="9">
        <v>10.960753614578</v>
      </c>
    </row>
    <row r="993" spans="1:2">
      <c r="A993" s="4">
        <v>46259</v>
      </c>
      <c r="B993" s="9">
        <v>10.6798603343374</v>
      </c>
    </row>
    <row r="994" spans="1:2">
      <c r="A994" s="4">
        <v>46260</v>
      </c>
      <c r="B994" s="9">
        <v>9.73269922913523</v>
      </c>
    </row>
    <row r="995" spans="1:2">
      <c r="A995" s="4">
        <v>46261</v>
      </c>
      <c r="B995" s="9">
        <v>8.81355086834865</v>
      </c>
    </row>
    <row r="996" spans="1:2">
      <c r="A996" s="4">
        <v>46262</v>
      </c>
      <c r="B996" s="9">
        <v>7.79306332423676</v>
      </c>
    </row>
    <row r="997" spans="1:2">
      <c r="A997" s="4">
        <v>46265</v>
      </c>
      <c r="B997" s="9">
        <v>12.1876266742688</v>
      </c>
    </row>
    <row r="998" spans="1:2">
      <c r="A998" s="4">
        <v>46266</v>
      </c>
      <c r="B998" s="9">
        <v>10.7655689395681</v>
      </c>
    </row>
    <row r="999" spans="1:2">
      <c r="A999" s="4">
        <v>46267</v>
      </c>
      <c r="B999" s="9">
        <v>10.9941211015549</v>
      </c>
    </row>
    <row r="1000" spans="1:2">
      <c r="A1000" s="4">
        <v>46268</v>
      </c>
      <c r="B1000" s="9">
        <v>11.1558607586738</v>
      </c>
    </row>
    <row r="1001" spans="1:2">
      <c r="A1001" s="4">
        <v>46269</v>
      </c>
      <c r="B1001" s="9">
        <v>12.0753960171588</v>
      </c>
    </row>
    <row r="1002" spans="1:2">
      <c r="A1002" s="4">
        <v>46272</v>
      </c>
      <c r="B1002" s="9">
        <v>11.5720734402232</v>
      </c>
    </row>
    <row r="1003" spans="1:2">
      <c r="A1003" s="4">
        <v>46273</v>
      </c>
      <c r="B1003" s="9">
        <v>9.50400528314904</v>
      </c>
    </row>
    <row r="1004" spans="1:2">
      <c r="A1004" s="4">
        <v>46274</v>
      </c>
      <c r="B1004" s="9">
        <v>12.3377228683511</v>
      </c>
    </row>
    <row r="1005" spans="1:2">
      <c r="A1005" s="4">
        <v>46275</v>
      </c>
      <c r="B1005" s="9">
        <v>6.47288448671666</v>
      </c>
    </row>
    <row r="1006" spans="1:2">
      <c r="A1006" s="4">
        <v>46276</v>
      </c>
      <c r="B1006" s="9">
        <v>6.75469577159919</v>
      </c>
    </row>
    <row r="1007" spans="1:2">
      <c r="A1007" s="4">
        <v>46279</v>
      </c>
      <c r="B1007" s="9">
        <v>-1.13901443176056</v>
      </c>
    </row>
    <row r="1008" spans="1:2">
      <c r="A1008" s="4">
        <v>46280</v>
      </c>
      <c r="B1008" s="9">
        <v>-4.61894937379367</v>
      </c>
    </row>
    <row r="1009" spans="1:2">
      <c r="A1009" s="4">
        <v>46281</v>
      </c>
      <c r="B1009" s="9">
        <v>-6.12098154118582</v>
      </c>
    </row>
    <row r="1010" spans="1:2">
      <c r="A1010" s="4">
        <v>46282</v>
      </c>
      <c r="B1010" s="9">
        <v>-18.1778355015728</v>
      </c>
    </row>
    <row r="1011" spans="1:2">
      <c r="A1011" s="4">
        <v>46283</v>
      </c>
      <c r="B1011" s="9">
        <v>9.8532128517713</v>
      </c>
    </row>
    <row r="1012" spans="1:2">
      <c r="A1012" s="4">
        <v>46286</v>
      </c>
      <c r="B1012" s="9">
        <v>11.2248267627947</v>
      </c>
    </row>
    <row r="1013" spans="1:2">
      <c r="A1013" s="4">
        <v>46287</v>
      </c>
      <c r="B1013" s="9">
        <v>9.93454102789323</v>
      </c>
    </row>
    <row r="1014" spans="1:2">
      <c r="A1014" s="4">
        <v>46288</v>
      </c>
      <c r="B1014" s="9">
        <v>9.48804195047191</v>
      </c>
    </row>
    <row r="1015" spans="1:2">
      <c r="A1015" s="4">
        <v>46289</v>
      </c>
      <c r="B1015" s="9">
        <v>10.5645742922721</v>
      </c>
    </row>
    <row r="1016" spans="1:2">
      <c r="A1016" s="4">
        <v>46293</v>
      </c>
      <c r="B1016" s="9">
        <v>8.53567327651061</v>
      </c>
    </row>
    <row r="1017" spans="1:2">
      <c r="A1017" s="4">
        <v>46294</v>
      </c>
      <c r="B1017" s="9">
        <v>8.47838850134712</v>
      </c>
    </row>
    <row r="1018" spans="1:2">
      <c r="A1018" s="4">
        <v>46295</v>
      </c>
      <c r="B1018" s="9">
        <v>8.40280474316289</v>
      </c>
    </row>
    <row r="1019" spans="1:2">
      <c r="A1019" s="4">
        <v>46303</v>
      </c>
      <c r="B1019" s="9">
        <v>7.83822760281957</v>
      </c>
    </row>
    <row r="1020" spans="1:2">
      <c r="A1020" s="4">
        <v>46304</v>
      </c>
      <c r="B1020" s="9">
        <v>9.59794706562875</v>
      </c>
    </row>
    <row r="1021" spans="1:2">
      <c r="A1021" s="4">
        <v>46307</v>
      </c>
      <c r="B1021" s="9">
        <v>7.15464618439073</v>
      </c>
    </row>
    <row r="1022" spans="1:2">
      <c r="A1022" s="4">
        <v>46308</v>
      </c>
      <c r="B1022" s="9">
        <v>8.82063074822692</v>
      </c>
    </row>
    <row r="1023" spans="1:2">
      <c r="A1023" s="4">
        <v>46309</v>
      </c>
      <c r="B1023" s="9">
        <v>7.49534706309837</v>
      </c>
    </row>
    <row r="1024" spans="1:2">
      <c r="A1024" s="4">
        <v>46310</v>
      </c>
      <c r="B1024" s="9">
        <v>9.95938201718795</v>
      </c>
    </row>
    <row r="1025" spans="1:2">
      <c r="A1025" s="4">
        <v>46311</v>
      </c>
      <c r="B1025" s="9">
        <v>7.99887581798209</v>
      </c>
    </row>
    <row r="1026" spans="1:2">
      <c r="A1026" s="4">
        <v>46314</v>
      </c>
      <c r="B1026" s="9">
        <v>6.34510666096876</v>
      </c>
    </row>
    <row r="1027" spans="1:2">
      <c r="A1027" s="4">
        <v>46315</v>
      </c>
      <c r="B1027" s="9">
        <v>8.65700042435282</v>
      </c>
    </row>
    <row r="1028" spans="1:2">
      <c r="A1028" s="4">
        <v>46316</v>
      </c>
      <c r="B1028" s="9">
        <v>10.3806648605357</v>
      </c>
    </row>
    <row r="1029" spans="1:2">
      <c r="A1029" s="4">
        <v>46317</v>
      </c>
      <c r="B1029" s="9">
        <v>9.65228485723913</v>
      </c>
    </row>
    <row r="1030" spans="1:2">
      <c r="A1030" s="10">
        <v>46318</v>
      </c>
      <c r="B1030" s="11">
        <v>6.74957156033215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1459"/>
  <sheetViews>
    <sheetView topLeftCell="A1421" workbookViewId="0">
      <selection activeCell="G1456" sqref="G1456"/>
    </sheetView>
  </sheetViews>
  <sheetFormatPr defaultColWidth="8.88888888888889" defaultRowHeight="14.4" outlineLevelCol="4"/>
  <cols>
    <col min="1" max="1" width="11.8888888888889" customWidth="1"/>
    <col min="2" max="2" width="15.2222222222222" customWidth="1"/>
    <col min="3" max="3" width="16.4444444444444" customWidth="1"/>
    <col min="4" max="4" width="22" customWidth="1"/>
    <col min="5" max="5" width="26.5555555555556" customWidth="1"/>
  </cols>
  <sheetData>
    <row r="1" spans="1:5">
      <c r="A1" t="s">
        <v>26</v>
      </c>
      <c r="B1" s="1" t="s">
        <v>27</v>
      </c>
      <c r="C1" s="1" t="s">
        <v>28</v>
      </c>
      <c r="D1" t="s">
        <v>29</v>
      </c>
      <c r="E1" t="s">
        <v>30</v>
      </c>
    </row>
    <row r="2" spans="1:5">
      <c r="A2" s="2">
        <v>44124</v>
      </c>
      <c r="B2" s="1">
        <v>38.55</v>
      </c>
      <c r="C2" s="1">
        <v>53.72</v>
      </c>
    </row>
    <row r="3" spans="1:5">
      <c r="A3" s="2">
        <v>44125</v>
      </c>
      <c r="B3" s="1">
        <v>38.58</v>
      </c>
      <c r="C3" s="1">
        <v>53.69</v>
      </c>
    </row>
    <row r="4" spans="1:5">
      <c r="A4" s="2">
        <v>44126</v>
      </c>
      <c r="B4" s="1">
        <v>39.63</v>
      </c>
      <c r="C4" s="1">
        <v>54.24</v>
      </c>
    </row>
    <row r="5" spans="1:5">
      <c r="A5" s="2">
        <v>44127</v>
      </c>
      <c r="B5" s="1">
        <v>38.58</v>
      </c>
      <c r="C5" s="1">
        <v>53.05</v>
      </c>
    </row>
    <row r="6" spans="1:5">
      <c r="A6" s="2">
        <v>44130</v>
      </c>
      <c r="B6" s="1">
        <v>40.07</v>
      </c>
      <c r="C6" s="1">
        <v>54.31</v>
      </c>
    </row>
    <row r="7" spans="1:5">
      <c r="A7" s="2">
        <v>44131</v>
      </c>
      <c r="B7" s="1">
        <v>38.9</v>
      </c>
      <c r="C7" s="1">
        <v>53.78</v>
      </c>
    </row>
    <row r="8" spans="1:5">
      <c r="A8" s="2">
        <v>44132</v>
      </c>
      <c r="B8" s="1">
        <v>40.02</v>
      </c>
      <c r="C8" s="1">
        <v>54.37</v>
      </c>
    </row>
    <row r="9" spans="1:5">
      <c r="A9" s="2">
        <v>44133</v>
      </c>
      <c r="B9" s="1">
        <v>41.15</v>
      </c>
      <c r="C9" s="1">
        <v>55.45</v>
      </c>
    </row>
    <row r="10" spans="1:5">
      <c r="A10" s="2">
        <v>44134</v>
      </c>
      <c r="B10" s="1">
        <v>39.71</v>
      </c>
      <c r="C10" s="1">
        <v>53.61</v>
      </c>
    </row>
    <row r="11" spans="1:5">
      <c r="A11" s="2">
        <v>44137</v>
      </c>
      <c r="B11" s="1">
        <v>41.2</v>
      </c>
      <c r="C11" s="1">
        <v>55.1</v>
      </c>
    </row>
    <row r="12" spans="1:5">
      <c r="A12" s="2">
        <v>44138</v>
      </c>
      <c r="B12" s="1">
        <v>40.04</v>
      </c>
      <c r="C12" s="1">
        <v>54.3</v>
      </c>
    </row>
    <row r="13" spans="1:5">
      <c r="A13" s="2">
        <v>44139</v>
      </c>
      <c r="B13" s="1">
        <v>40.63</v>
      </c>
      <c r="C13" s="1">
        <v>55.49</v>
      </c>
    </row>
    <row r="14" spans="1:5">
      <c r="A14" s="2">
        <v>44140</v>
      </c>
      <c r="B14" s="1">
        <v>40.7</v>
      </c>
      <c r="C14" s="1">
        <v>54.97</v>
      </c>
    </row>
    <row r="15" spans="1:5">
      <c r="A15" s="2">
        <v>44141</v>
      </c>
      <c r="B15" s="1">
        <v>43.11</v>
      </c>
      <c r="C15" s="1">
        <v>57.24</v>
      </c>
    </row>
    <row r="16" spans="1:5">
      <c r="A16" s="2">
        <v>44144</v>
      </c>
      <c r="B16" s="1">
        <v>41.63</v>
      </c>
      <c r="C16" s="1">
        <v>55.4</v>
      </c>
    </row>
    <row r="17" spans="1:3">
      <c r="A17" s="2">
        <v>44145</v>
      </c>
      <c r="B17" s="1">
        <v>42.76</v>
      </c>
      <c r="C17" s="1">
        <v>56.8</v>
      </c>
    </row>
    <row r="18" spans="1:3">
      <c r="A18" s="2">
        <v>44146</v>
      </c>
      <c r="B18" s="1">
        <v>43.51</v>
      </c>
      <c r="C18" s="1">
        <v>57.05</v>
      </c>
    </row>
    <row r="19" spans="1:3">
      <c r="A19" s="2">
        <v>44147</v>
      </c>
      <c r="B19" s="1">
        <v>42</v>
      </c>
      <c r="C19" s="1">
        <v>55.99</v>
      </c>
    </row>
    <row r="20" spans="1:3">
      <c r="A20" s="2">
        <v>44148</v>
      </c>
      <c r="B20" s="1">
        <v>44.5</v>
      </c>
      <c r="C20" s="1">
        <v>58.07</v>
      </c>
    </row>
    <row r="21" spans="1:3">
      <c r="A21" s="2">
        <v>44151</v>
      </c>
      <c r="B21" s="1">
        <v>41.49</v>
      </c>
      <c r="C21" s="1">
        <v>55.56</v>
      </c>
    </row>
    <row r="22" spans="1:3">
      <c r="A22" s="2">
        <v>44152</v>
      </c>
      <c r="B22" s="1">
        <v>42.04</v>
      </c>
      <c r="C22" s="1">
        <v>56.13</v>
      </c>
    </row>
    <row r="23" spans="1:3">
      <c r="A23" s="2">
        <v>44153</v>
      </c>
      <c r="B23" s="1">
        <v>42.78</v>
      </c>
      <c r="C23" s="1">
        <v>57.01</v>
      </c>
    </row>
    <row r="24" spans="1:3">
      <c r="A24" s="2">
        <v>44154</v>
      </c>
      <c r="B24" s="1">
        <v>40.25</v>
      </c>
      <c r="C24" s="1">
        <v>54.71</v>
      </c>
    </row>
    <row r="25" spans="1:3">
      <c r="A25" s="2">
        <v>44155</v>
      </c>
      <c r="B25" s="1">
        <v>39.56</v>
      </c>
      <c r="C25" s="1">
        <v>53.89</v>
      </c>
    </row>
    <row r="26" spans="1:3">
      <c r="A26" s="2">
        <v>44158</v>
      </c>
      <c r="B26" s="1">
        <v>40.88</v>
      </c>
      <c r="C26" s="1">
        <v>55.26</v>
      </c>
    </row>
    <row r="27" spans="1:3">
      <c r="A27" s="2">
        <v>44159</v>
      </c>
      <c r="B27" s="1">
        <v>41.36</v>
      </c>
      <c r="C27" s="1">
        <v>55.83</v>
      </c>
    </row>
    <row r="28" spans="1:3">
      <c r="A28" s="2">
        <v>44160</v>
      </c>
      <c r="B28" s="1">
        <v>39.54</v>
      </c>
      <c r="C28" s="1">
        <v>53.99</v>
      </c>
    </row>
    <row r="29" spans="1:3">
      <c r="A29" s="2">
        <v>44161</v>
      </c>
      <c r="B29" s="1">
        <v>40.74</v>
      </c>
      <c r="C29" s="1">
        <v>54.89</v>
      </c>
    </row>
    <row r="30" spans="1:3">
      <c r="A30" s="2">
        <v>44162</v>
      </c>
      <c r="B30" s="1">
        <v>41.25</v>
      </c>
      <c r="C30" s="1">
        <v>55.81</v>
      </c>
    </row>
    <row r="31" spans="1:3">
      <c r="A31" s="2">
        <v>44165</v>
      </c>
      <c r="B31" s="1">
        <v>46.04</v>
      </c>
      <c r="C31" s="1">
        <v>60.34</v>
      </c>
    </row>
    <row r="32" spans="1:3">
      <c r="A32" s="2">
        <v>44166</v>
      </c>
      <c r="B32" s="1">
        <v>42.84</v>
      </c>
      <c r="C32" s="1">
        <v>57.65</v>
      </c>
    </row>
    <row r="33" spans="1:3">
      <c r="A33" s="2">
        <v>44167</v>
      </c>
      <c r="B33" s="1">
        <v>42.11</v>
      </c>
      <c r="C33" s="1">
        <v>56.55</v>
      </c>
    </row>
    <row r="34" spans="1:3">
      <c r="A34" s="2">
        <v>44168</v>
      </c>
      <c r="B34" s="1">
        <v>41.47</v>
      </c>
      <c r="C34" s="1">
        <v>56.11</v>
      </c>
    </row>
    <row r="35" spans="1:3">
      <c r="A35" s="2">
        <v>44169</v>
      </c>
      <c r="B35" s="1">
        <v>43.4</v>
      </c>
      <c r="C35" s="1">
        <v>57.58</v>
      </c>
    </row>
    <row r="36" spans="1:3">
      <c r="A36" s="2">
        <v>44172</v>
      </c>
      <c r="B36" s="1">
        <v>42.8</v>
      </c>
      <c r="C36" s="1">
        <v>57.05</v>
      </c>
    </row>
    <row r="37" spans="1:3">
      <c r="A37" s="2">
        <v>44173</v>
      </c>
      <c r="B37" s="1">
        <v>42.9</v>
      </c>
      <c r="C37" s="1">
        <v>57.45</v>
      </c>
    </row>
    <row r="38" spans="1:3">
      <c r="A38" s="2">
        <v>44174</v>
      </c>
      <c r="B38" s="1">
        <v>41.54</v>
      </c>
      <c r="C38" s="1">
        <v>55.67</v>
      </c>
    </row>
    <row r="39" spans="1:3">
      <c r="A39" s="2">
        <v>44175</v>
      </c>
      <c r="B39" s="1">
        <v>41.7</v>
      </c>
      <c r="C39" s="1">
        <v>56.63</v>
      </c>
    </row>
    <row r="40" spans="1:3">
      <c r="A40" s="2">
        <v>44176</v>
      </c>
      <c r="B40" s="1">
        <v>40.57</v>
      </c>
      <c r="C40" s="1">
        <v>55.76</v>
      </c>
    </row>
    <row r="41" spans="1:3">
      <c r="A41" s="2">
        <v>44179</v>
      </c>
      <c r="B41" s="1">
        <v>43.23</v>
      </c>
      <c r="C41" s="1">
        <v>58.13</v>
      </c>
    </row>
    <row r="42" spans="1:3">
      <c r="A42" s="2">
        <v>44180</v>
      </c>
      <c r="B42" s="1">
        <v>46.2</v>
      </c>
      <c r="C42" s="1">
        <v>60.55</v>
      </c>
    </row>
    <row r="43" spans="1:3">
      <c r="A43" s="2">
        <v>44181</v>
      </c>
      <c r="B43" s="1">
        <v>44</v>
      </c>
      <c r="C43" s="1">
        <v>58.37</v>
      </c>
    </row>
    <row r="44" spans="1:3">
      <c r="A44" s="2">
        <v>44182</v>
      </c>
      <c r="B44" s="1">
        <v>44.03</v>
      </c>
      <c r="C44" s="1">
        <v>58.03</v>
      </c>
    </row>
    <row r="45" spans="1:3">
      <c r="A45" s="2">
        <v>44183</v>
      </c>
      <c r="B45" s="1">
        <v>44.35</v>
      </c>
      <c r="C45" s="1">
        <v>59.15</v>
      </c>
    </row>
    <row r="46" spans="1:3">
      <c r="A46" s="2">
        <v>44186</v>
      </c>
      <c r="B46" s="1">
        <v>45.07</v>
      </c>
      <c r="C46" s="1">
        <v>60.14</v>
      </c>
    </row>
    <row r="47" spans="1:3">
      <c r="A47" s="2">
        <v>44187</v>
      </c>
      <c r="B47" s="1">
        <v>44.27</v>
      </c>
      <c r="C47" s="1">
        <v>59.1</v>
      </c>
    </row>
    <row r="48" spans="1:3">
      <c r="A48" s="2">
        <v>44188</v>
      </c>
      <c r="B48" s="1">
        <v>45.98</v>
      </c>
      <c r="C48" s="1">
        <v>61.15</v>
      </c>
    </row>
    <row r="49" spans="1:3">
      <c r="A49" s="2">
        <v>44189</v>
      </c>
      <c r="B49" s="1">
        <v>42.05</v>
      </c>
      <c r="C49" s="1">
        <v>56.97</v>
      </c>
    </row>
    <row r="50" spans="1:3">
      <c r="A50" s="2">
        <v>44190</v>
      </c>
      <c r="B50" s="1">
        <v>43.09</v>
      </c>
      <c r="C50" s="1">
        <v>58.28</v>
      </c>
    </row>
    <row r="51" spans="1:3">
      <c r="A51" s="2">
        <v>44193</v>
      </c>
      <c r="B51" s="1">
        <v>42.97</v>
      </c>
      <c r="C51" s="1">
        <v>57.81</v>
      </c>
    </row>
    <row r="52" spans="1:3">
      <c r="A52" s="2">
        <v>44194</v>
      </c>
      <c r="B52" s="1">
        <v>44.41</v>
      </c>
      <c r="C52" s="1">
        <v>59.37</v>
      </c>
    </row>
    <row r="53" spans="1:3">
      <c r="A53" s="2">
        <v>44195</v>
      </c>
      <c r="B53" s="1">
        <v>47.38</v>
      </c>
      <c r="C53" s="1">
        <v>62.01</v>
      </c>
    </row>
    <row r="54" spans="1:3">
      <c r="A54" s="2">
        <v>44196</v>
      </c>
      <c r="B54" s="1">
        <v>47.44</v>
      </c>
      <c r="C54" s="1">
        <v>62.38</v>
      </c>
    </row>
    <row r="55" spans="1:3">
      <c r="A55" s="2">
        <v>44200</v>
      </c>
      <c r="B55" s="1">
        <v>46.79</v>
      </c>
      <c r="C55" s="1">
        <v>62.12</v>
      </c>
    </row>
    <row r="56" spans="1:3">
      <c r="A56" s="2">
        <v>44201</v>
      </c>
      <c r="B56" s="1">
        <v>48</v>
      </c>
      <c r="C56" s="1">
        <v>62.89</v>
      </c>
    </row>
    <row r="57" spans="1:3">
      <c r="A57" s="2">
        <v>44202</v>
      </c>
      <c r="B57" s="1">
        <v>47.12</v>
      </c>
      <c r="C57" s="1">
        <v>62.18</v>
      </c>
    </row>
    <row r="58" spans="1:3">
      <c r="A58" s="2">
        <v>44203</v>
      </c>
      <c r="B58" s="1">
        <v>46.3</v>
      </c>
      <c r="C58" s="1">
        <v>61.05</v>
      </c>
    </row>
    <row r="59" spans="1:3">
      <c r="A59" s="2">
        <v>44204</v>
      </c>
      <c r="B59" s="1">
        <v>50.09</v>
      </c>
      <c r="C59" s="1">
        <v>64.74</v>
      </c>
    </row>
    <row r="60" spans="1:3">
      <c r="A60" s="2">
        <v>44207</v>
      </c>
      <c r="B60" s="1">
        <v>51.6</v>
      </c>
      <c r="C60" s="1">
        <v>66.38</v>
      </c>
    </row>
    <row r="61" spans="1:3">
      <c r="A61" s="2">
        <v>44208</v>
      </c>
      <c r="B61" s="1">
        <v>52.45</v>
      </c>
      <c r="C61" s="1">
        <v>67.16</v>
      </c>
    </row>
    <row r="62" spans="1:3">
      <c r="A62" s="2">
        <v>44209</v>
      </c>
      <c r="B62" s="1">
        <v>52.39</v>
      </c>
      <c r="C62" s="1">
        <v>66.95</v>
      </c>
    </row>
    <row r="63" spans="1:3">
      <c r="A63" s="2">
        <v>44210</v>
      </c>
      <c r="B63" s="1">
        <v>52.17</v>
      </c>
      <c r="C63" s="1">
        <v>66.55</v>
      </c>
    </row>
    <row r="64" spans="1:3">
      <c r="A64" s="2">
        <v>44211</v>
      </c>
      <c r="B64" s="1">
        <v>52.62</v>
      </c>
      <c r="C64" s="1">
        <v>66.74</v>
      </c>
    </row>
    <row r="65" spans="1:3">
      <c r="A65" s="2">
        <v>44214</v>
      </c>
      <c r="B65" s="1">
        <v>49.81</v>
      </c>
      <c r="C65" s="1">
        <v>64.11</v>
      </c>
    </row>
    <row r="66" spans="1:3">
      <c r="A66" s="2">
        <v>44215</v>
      </c>
      <c r="B66" s="1">
        <v>48.81</v>
      </c>
      <c r="C66" s="1">
        <v>63.32</v>
      </c>
    </row>
    <row r="67" spans="1:3">
      <c r="A67" s="2">
        <v>44216</v>
      </c>
      <c r="B67" s="1">
        <v>49.03</v>
      </c>
      <c r="C67" s="1">
        <v>63.49</v>
      </c>
    </row>
    <row r="68" spans="1:3">
      <c r="A68" s="2">
        <v>44217</v>
      </c>
      <c r="B68" s="1">
        <v>49.34</v>
      </c>
      <c r="C68" s="1">
        <v>63.88</v>
      </c>
    </row>
    <row r="69" spans="1:3">
      <c r="A69" s="2">
        <v>44218</v>
      </c>
      <c r="B69" s="1">
        <v>49.79</v>
      </c>
      <c r="C69" s="1">
        <v>64.26</v>
      </c>
    </row>
    <row r="70" spans="1:3">
      <c r="A70" s="2">
        <v>44221</v>
      </c>
      <c r="B70" s="1">
        <v>52.3</v>
      </c>
      <c r="C70" s="1">
        <v>66.28</v>
      </c>
    </row>
    <row r="71" spans="1:3">
      <c r="A71" s="2">
        <v>44222</v>
      </c>
      <c r="B71" s="1">
        <v>50.96</v>
      </c>
      <c r="C71" s="1">
        <v>65.72</v>
      </c>
    </row>
    <row r="72" spans="1:3">
      <c r="A72" s="2">
        <v>44223</v>
      </c>
      <c r="B72" s="1">
        <v>50.75</v>
      </c>
      <c r="C72" s="1">
        <v>65.23</v>
      </c>
    </row>
    <row r="73" spans="1:3">
      <c r="A73" s="2">
        <v>44224</v>
      </c>
      <c r="B73" s="1">
        <v>50.21</v>
      </c>
      <c r="C73" s="1">
        <v>64.55</v>
      </c>
    </row>
    <row r="74" spans="1:3">
      <c r="A74" s="2">
        <v>44225</v>
      </c>
      <c r="B74" s="1">
        <v>50</v>
      </c>
      <c r="C74" s="1">
        <v>64.01</v>
      </c>
    </row>
    <row r="75" spans="1:3">
      <c r="A75" s="2">
        <v>44228</v>
      </c>
      <c r="B75" s="1">
        <v>48.58</v>
      </c>
      <c r="C75" s="1">
        <v>63.11</v>
      </c>
    </row>
    <row r="76" spans="1:3">
      <c r="A76" s="2">
        <v>44229</v>
      </c>
      <c r="B76" s="1">
        <v>50.54</v>
      </c>
      <c r="C76" s="1">
        <v>65.16</v>
      </c>
    </row>
    <row r="77" spans="1:3">
      <c r="A77" s="2">
        <v>44230</v>
      </c>
      <c r="B77" s="1">
        <v>51.55</v>
      </c>
      <c r="C77" s="1">
        <v>65.77</v>
      </c>
    </row>
    <row r="78" spans="1:3">
      <c r="A78" s="2">
        <v>44231</v>
      </c>
      <c r="B78" s="1">
        <v>50.86</v>
      </c>
      <c r="C78" s="1">
        <v>65</v>
      </c>
    </row>
    <row r="79" spans="1:3">
      <c r="A79" s="2">
        <v>44232</v>
      </c>
      <c r="B79" s="1">
        <v>52.97</v>
      </c>
      <c r="C79" s="1">
        <v>67.21</v>
      </c>
    </row>
    <row r="80" spans="1:3">
      <c r="A80" s="2">
        <v>44235</v>
      </c>
      <c r="B80" s="1">
        <v>53.84</v>
      </c>
      <c r="C80" s="1">
        <v>68.06</v>
      </c>
    </row>
    <row r="81" spans="1:3">
      <c r="A81" s="2">
        <v>44236</v>
      </c>
      <c r="B81" s="1">
        <v>53.29</v>
      </c>
      <c r="C81" s="1">
        <v>67.64</v>
      </c>
    </row>
    <row r="82" spans="1:3">
      <c r="A82" s="2">
        <v>44237</v>
      </c>
      <c r="B82" s="1">
        <v>55.58</v>
      </c>
      <c r="C82" s="1">
        <v>69.44</v>
      </c>
    </row>
    <row r="83" spans="1:3">
      <c r="A83" s="2">
        <v>44245</v>
      </c>
      <c r="B83" s="1">
        <v>54.19</v>
      </c>
      <c r="C83" s="1">
        <v>67.96</v>
      </c>
    </row>
    <row r="84" spans="1:3">
      <c r="A84" s="2">
        <v>44246</v>
      </c>
      <c r="B84" s="1">
        <v>50.71</v>
      </c>
      <c r="C84" s="1">
        <v>65.02</v>
      </c>
    </row>
    <row r="85" spans="1:3">
      <c r="A85" s="2">
        <v>44249</v>
      </c>
      <c r="B85" s="1">
        <v>48.96</v>
      </c>
      <c r="C85" s="1">
        <v>62.86</v>
      </c>
    </row>
    <row r="86" spans="1:3">
      <c r="A86" s="2">
        <v>44250</v>
      </c>
      <c r="B86" s="1">
        <v>49.57</v>
      </c>
      <c r="C86" s="1">
        <v>63.71</v>
      </c>
    </row>
    <row r="87" spans="1:3">
      <c r="A87" s="2">
        <v>44251</v>
      </c>
      <c r="B87" s="1">
        <v>52.09</v>
      </c>
      <c r="C87" s="1">
        <v>65.92</v>
      </c>
    </row>
    <row r="88" spans="1:3">
      <c r="A88" s="2">
        <v>44252</v>
      </c>
      <c r="B88" s="1">
        <v>50.13</v>
      </c>
      <c r="C88" s="1">
        <v>64.46</v>
      </c>
    </row>
    <row r="89" spans="1:3">
      <c r="A89" s="2">
        <v>44253</v>
      </c>
      <c r="B89" s="1">
        <v>50.23</v>
      </c>
      <c r="C89" s="1">
        <v>64.56</v>
      </c>
    </row>
    <row r="90" spans="1:3">
      <c r="A90" s="2">
        <v>44256</v>
      </c>
      <c r="B90" s="1">
        <v>47.84</v>
      </c>
      <c r="C90" s="1">
        <v>61.93</v>
      </c>
    </row>
    <row r="91" spans="1:3">
      <c r="A91" s="2">
        <v>44257</v>
      </c>
      <c r="B91" s="1">
        <v>49.16</v>
      </c>
      <c r="C91" s="1">
        <v>63.17</v>
      </c>
    </row>
    <row r="92" spans="1:3">
      <c r="A92" s="2">
        <v>44258</v>
      </c>
      <c r="B92" s="1">
        <v>47.23</v>
      </c>
      <c r="C92" s="1">
        <v>61.6</v>
      </c>
    </row>
    <row r="93" spans="1:3">
      <c r="A93" s="2">
        <v>44259</v>
      </c>
      <c r="B93" s="1">
        <v>48.65</v>
      </c>
      <c r="C93" s="1">
        <v>62.46</v>
      </c>
    </row>
    <row r="94" spans="1:3">
      <c r="A94" s="2">
        <v>44260</v>
      </c>
      <c r="B94" s="1">
        <v>46.6</v>
      </c>
      <c r="C94" s="1">
        <v>61.02</v>
      </c>
    </row>
    <row r="95" spans="1:3">
      <c r="A95" s="2">
        <v>44263</v>
      </c>
      <c r="B95" s="1">
        <v>47.07</v>
      </c>
      <c r="C95" s="1">
        <v>61.21</v>
      </c>
    </row>
    <row r="96" spans="1:3">
      <c r="A96" s="2">
        <v>44264</v>
      </c>
      <c r="B96" s="1">
        <v>47.24</v>
      </c>
      <c r="C96" s="1">
        <v>61.05</v>
      </c>
    </row>
    <row r="97" spans="1:3">
      <c r="A97" s="2">
        <v>44265</v>
      </c>
      <c r="B97" s="1">
        <v>47.88</v>
      </c>
      <c r="C97" s="1">
        <v>61.85</v>
      </c>
    </row>
    <row r="98" spans="1:3">
      <c r="A98" s="2">
        <v>44266</v>
      </c>
      <c r="B98" s="1">
        <v>49.8</v>
      </c>
      <c r="C98" s="1">
        <v>63.64</v>
      </c>
    </row>
    <row r="99" spans="1:3">
      <c r="A99" s="2">
        <v>44267</v>
      </c>
      <c r="B99" s="1">
        <v>47.75</v>
      </c>
      <c r="C99" s="1">
        <v>62.41</v>
      </c>
    </row>
    <row r="100" spans="1:3">
      <c r="A100" s="2">
        <v>44270</v>
      </c>
      <c r="B100" s="1">
        <v>48.83</v>
      </c>
      <c r="C100" s="1">
        <v>63</v>
      </c>
    </row>
    <row r="101" spans="1:3">
      <c r="A101" s="2">
        <v>44271</v>
      </c>
      <c r="B101" s="1">
        <v>45.71</v>
      </c>
      <c r="C101" s="1">
        <v>59.94</v>
      </c>
    </row>
    <row r="102" spans="1:3">
      <c r="A102" s="2">
        <v>44272</v>
      </c>
      <c r="B102" s="1">
        <v>45.87</v>
      </c>
      <c r="C102" s="1">
        <v>59.57</v>
      </c>
    </row>
    <row r="103" spans="1:3">
      <c r="A103" s="2">
        <v>44273</v>
      </c>
      <c r="B103" s="1">
        <v>44.58</v>
      </c>
      <c r="C103" s="1">
        <v>58.66</v>
      </c>
    </row>
    <row r="104" spans="1:3">
      <c r="A104" s="2">
        <v>44274</v>
      </c>
      <c r="B104" s="1">
        <v>45.16</v>
      </c>
      <c r="C104" s="1">
        <v>58.99</v>
      </c>
    </row>
    <row r="105" spans="1:3">
      <c r="A105" s="2">
        <v>44277</v>
      </c>
      <c r="B105" s="1">
        <v>42.88</v>
      </c>
      <c r="C105" s="1">
        <v>56.82</v>
      </c>
    </row>
    <row r="106" spans="1:3">
      <c r="A106" s="2">
        <v>44278</v>
      </c>
      <c r="B106" s="1">
        <v>41.95</v>
      </c>
      <c r="C106" s="1">
        <v>56.22</v>
      </c>
    </row>
    <row r="107" spans="1:3">
      <c r="A107" s="2">
        <v>44279</v>
      </c>
      <c r="B107" s="1">
        <v>43.54</v>
      </c>
      <c r="C107" s="1">
        <v>57.84</v>
      </c>
    </row>
    <row r="108" spans="1:3">
      <c r="A108" s="2">
        <v>44280</v>
      </c>
      <c r="B108" s="1">
        <v>43.29</v>
      </c>
      <c r="C108" s="1">
        <v>57.11</v>
      </c>
    </row>
    <row r="109" spans="1:3">
      <c r="A109" s="2">
        <v>44281</v>
      </c>
      <c r="B109" s="1">
        <v>45.9</v>
      </c>
      <c r="C109" s="1">
        <v>59.74</v>
      </c>
    </row>
    <row r="110" spans="1:3">
      <c r="A110" s="2">
        <v>44284</v>
      </c>
      <c r="B110" s="1">
        <v>44.48</v>
      </c>
      <c r="C110" s="1">
        <v>58.27</v>
      </c>
    </row>
    <row r="111" spans="1:3">
      <c r="A111" s="2">
        <v>44285</v>
      </c>
      <c r="B111" s="1">
        <v>43.86</v>
      </c>
      <c r="C111" s="1">
        <v>57.67</v>
      </c>
    </row>
    <row r="112" spans="1:3">
      <c r="A112" s="2">
        <v>44286</v>
      </c>
      <c r="B112" s="1">
        <v>43.88</v>
      </c>
      <c r="C112" s="1">
        <v>58.32</v>
      </c>
    </row>
    <row r="113" spans="1:3">
      <c r="A113" s="2">
        <v>44287</v>
      </c>
      <c r="B113" s="1">
        <v>42.57</v>
      </c>
      <c r="C113" s="1">
        <v>56.83</v>
      </c>
    </row>
    <row r="114" spans="1:3">
      <c r="A114" s="2">
        <v>44288</v>
      </c>
      <c r="B114" s="1">
        <v>44.2</v>
      </c>
      <c r="C114" s="1">
        <v>58.4</v>
      </c>
    </row>
    <row r="115" spans="1:3">
      <c r="A115" s="2">
        <v>44292</v>
      </c>
      <c r="B115" s="1">
        <v>42.49</v>
      </c>
      <c r="C115" s="1">
        <v>56.5</v>
      </c>
    </row>
    <row r="116" spans="1:3">
      <c r="A116" s="2">
        <v>44293</v>
      </c>
      <c r="B116" s="1">
        <v>42.7</v>
      </c>
      <c r="C116" s="1">
        <v>57.13</v>
      </c>
    </row>
    <row r="117" spans="1:3">
      <c r="A117" s="2">
        <v>44294</v>
      </c>
      <c r="B117" s="1">
        <v>41.5</v>
      </c>
      <c r="C117" s="1">
        <v>56</v>
      </c>
    </row>
    <row r="118" spans="1:3">
      <c r="A118" s="2">
        <v>44295</v>
      </c>
      <c r="B118" s="1">
        <v>42.7</v>
      </c>
      <c r="C118" s="1">
        <v>57.3</v>
      </c>
    </row>
    <row r="119" spans="1:3">
      <c r="A119" s="2">
        <v>44298</v>
      </c>
      <c r="B119" s="1">
        <v>43.59</v>
      </c>
      <c r="C119" s="1">
        <v>57.87</v>
      </c>
    </row>
    <row r="120" spans="1:3">
      <c r="A120" s="2">
        <v>44299</v>
      </c>
      <c r="B120" s="1">
        <v>43.12</v>
      </c>
      <c r="C120" s="1">
        <v>57.12</v>
      </c>
    </row>
    <row r="121" spans="1:3">
      <c r="A121" s="2">
        <v>44300</v>
      </c>
      <c r="B121" s="1">
        <v>44.74</v>
      </c>
      <c r="C121" s="1">
        <v>58.27</v>
      </c>
    </row>
    <row r="122" spans="1:3">
      <c r="A122" s="2">
        <v>44301</v>
      </c>
      <c r="B122" s="1">
        <v>43.95</v>
      </c>
      <c r="C122" s="1">
        <v>57.45</v>
      </c>
    </row>
    <row r="123" spans="1:3">
      <c r="A123" s="2">
        <v>44302</v>
      </c>
      <c r="B123" s="1">
        <v>40.69</v>
      </c>
      <c r="C123" s="1">
        <v>54.25</v>
      </c>
    </row>
    <row r="124" spans="1:3">
      <c r="A124" s="2">
        <v>44305</v>
      </c>
      <c r="B124" s="1">
        <v>43.68</v>
      </c>
      <c r="C124" s="1">
        <v>56.9</v>
      </c>
    </row>
    <row r="125" spans="1:3">
      <c r="A125" s="2">
        <v>44306</v>
      </c>
      <c r="B125" s="1">
        <v>43.84</v>
      </c>
      <c r="C125" s="1">
        <v>57.64</v>
      </c>
    </row>
    <row r="126" spans="1:3">
      <c r="A126" s="2">
        <v>44307</v>
      </c>
      <c r="B126" s="1">
        <v>44.45</v>
      </c>
      <c r="C126" s="1">
        <v>57.98</v>
      </c>
    </row>
    <row r="127" spans="1:3">
      <c r="A127" s="2">
        <v>44308</v>
      </c>
      <c r="B127" s="1">
        <v>43.6</v>
      </c>
      <c r="C127" s="1">
        <v>57.4</v>
      </c>
    </row>
    <row r="128" spans="1:3">
      <c r="A128" s="2">
        <v>44309</v>
      </c>
      <c r="B128" s="1">
        <v>45.68</v>
      </c>
      <c r="C128" s="1">
        <v>58.82</v>
      </c>
    </row>
    <row r="129" spans="1:3">
      <c r="A129" s="2">
        <v>44312</v>
      </c>
      <c r="B129" s="1">
        <v>46.2</v>
      </c>
      <c r="C129" s="1">
        <v>59.93</v>
      </c>
    </row>
    <row r="130" spans="1:3">
      <c r="A130" s="2">
        <v>44313</v>
      </c>
      <c r="B130" s="1">
        <v>44.15</v>
      </c>
      <c r="C130" s="1">
        <v>57.72</v>
      </c>
    </row>
    <row r="131" spans="1:3">
      <c r="A131" s="2">
        <v>44314</v>
      </c>
      <c r="B131" s="1">
        <v>46.06</v>
      </c>
      <c r="C131" s="1">
        <v>59.79</v>
      </c>
    </row>
    <row r="132" spans="1:3">
      <c r="A132" s="2">
        <v>44315</v>
      </c>
      <c r="B132" s="1">
        <v>46.27</v>
      </c>
      <c r="C132" s="1">
        <v>60.79</v>
      </c>
    </row>
    <row r="133" spans="1:3">
      <c r="A133" s="2">
        <v>44316</v>
      </c>
      <c r="B133" s="1">
        <v>46.98</v>
      </c>
      <c r="C133" s="1">
        <v>61.47</v>
      </c>
    </row>
    <row r="134" spans="1:3">
      <c r="A134" s="2">
        <v>44322</v>
      </c>
      <c r="B134" s="1">
        <v>48.8</v>
      </c>
      <c r="C134" s="1">
        <v>62.83</v>
      </c>
    </row>
    <row r="135" spans="1:3">
      <c r="A135" s="2">
        <v>44323</v>
      </c>
      <c r="B135" s="1">
        <v>47.43</v>
      </c>
      <c r="C135" s="1">
        <v>62.11</v>
      </c>
    </row>
    <row r="136" spans="1:3">
      <c r="A136" s="2">
        <v>44326</v>
      </c>
      <c r="B136" s="1">
        <v>45.96</v>
      </c>
      <c r="C136" s="1">
        <v>60.63</v>
      </c>
    </row>
    <row r="137" spans="1:3">
      <c r="A137" s="2">
        <v>44327</v>
      </c>
      <c r="B137" s="1">
        <v>46.61</v>
      </c>
      <c r="C137" s="1">
        <v>61.07</v>
      </c>
    </row>
    <row r="138" spans="1:3">
      <c r="A138" s="2">
        <v>44328</v>
      </c>
      <c r="B138" s="1">
        <v>43.11</v>
      </c>
      <c r="C138" s="1">
        <v>58.44</v>
      </c>
    </row>
    <row r="139" spans="1:3">
      <c r="A139" s="2">
        <v>44329</v>
      </c>
      <c r="B139" s="1">
        <v>43.41</v>
      </c>
      <c r="C139" s="1">
        <v>58.44</v>
      </c>
    </row>
    <row r="140" spans="1:3">
      <c r="A140" s="2">
        <v>44330</v>
      </c>
      <c r="B140" s="1">
        <v>44.77</v>
      </c>
      <c r="C140" s="1">
        <v>59.26</v>
      </c>
    </row>
    <row r="141" spans="1:3">
      <c r="A141" s="2">
        <v>44333</v>
      </c>
      <c r="B141" s="1">
        <v>45.24</v>
      </c>
      <c r="C141" s="1">
        <v>59.67</v>
      </c>
    </row>
    <row r="142" spans="1:3">
      <c r="A142" s="2">
        <v>44334</v>
      </c>
      <c r="B142" s="1">
        <v>43.65</v>
      </c>
      <c r="C142" s="1">
        <v>58.81</v>
      </c>
    </row>
    <row r="143" spans="1:3">
      <c r="A143" s="2">
        <v>44335</v>
      </c>
      <c r="B143" s="1">
        <v>45.71</v>
      </c>
      <c r="C143" s="1">
        <v>60.12</v>
      </c>
    </row>
    <row r="144" spans="1:3">
      <c r="A144" s="2">
        <v>44336</v>
      </c>
      <c r="B144" s="1">
        <v>45.31</v>
      </c>
      <c r="C144" s="1">
        <v>60.22</v>
      </c>
    </row>
    <row r="145" spans="1:3">
      <c r="A145" s="2">
        <v>44337</v>
      </c>
      <c r="B145" s="1">
        <v>47.01</v>
      </c>
      <c r="C145" s="1">
        <v>61.22</v>
      </c>
    </row>
    <row r="146" spans="1:3">
      <c r="A146" s="2">
        <v>44340</v>
      </c>
      <c r="B146" s="1">
        <v>46.75</v>
      </c>
      <c r="C146" s="1">
        <v>61.1</v>
      </c>
    </row>
    <row r="147" spans="1:3">
      <c r="A147" s="2">
        <v>44341</v>
      </c>
      <c r="B147" s="1">
        <v>49.22</v>
      </c>
      <c r="C147" s="1">
        <v>63.22</v>
      </c>
    </row>
    <row r="148" spans="1:3">
      <c r="A148" s="2">
        <v>44342</v>
      </c>
      <c r="B148" s="1">
        <v>45.71</v>
      </c>
      <c r="C148" s="1">
        <v>60.16</v>
      </c>
    </row>
    <row r="149" spans="1:3">
      <c r="A149" s="2">
        <v>44343</v>
      </c>
      <c r="B149" s="1">
        <v>43.99</v>
      </c>
      <c r="C149" s="1">
        <v>58.66</v>
      </c>
    </row>
    <row r="150" spans="1:3">
      <c r="A150" s="2">
        <v>44344</v>
      </c>
      <c r="B150" s="1">
        <v>45.41</v>
      </c>
      <c r="C150" s="1">
        <v>59.95</v>
      </c>
    </row>
    <row r="151" spans="1:3">
      <c r="A151" s="2">
        <v>44347</v>
      </c>
      <c r="B151" s="1">
        <v>44.97</v>
      </c>
      <c r="C151" s="1">
        <v>59.51</v>
      </c>
    </row>
    <row r="152" spans="1:3">
      <c r="A152" s="2">
        <v>44348</v>
      </c>
      <c r="B152" s="1">
        <v>42.84</v>
      </c>
      <c r="C152" s="1">
        <v>57.92</v>
      </c>
    </row>
    <row r="153" spans="1:3">
      <c r="A153" s="2">
        <v>44349</v>
      </c>
      <c r="B153" s="1">
        <v>42.05</v>
      </c>
      <c r="C153" s="1">
        <v>56.78</v>
      </c>
    </row>
    <row r="154" spans="1:3">
      <c r="A154" s="2">
        <v>44350</v>
      </c>
      <c r="B154" s="1">
        <v>43.56</v>
      </c>
      <c r="C154" s="1">
        <v>57.99</v>
      </c>
    </row>
    <row r="155" spans="1:3">
      <c r="A155" s="2">
        <v>44351</v>
      </c>
      <c r="B155" s="1">
        <v>44.55</v>
      </c>
      <c r="C155" s="1">
        <v>59.68</v>
      </c>
    </row>
    <row r="156" spans="1:3">
      <c r="A156" s="2">
        <v>44354</v>
      </c>
      <c r="B156" s="1">
        <v>44.21</v>
      </c>
      <c r="C156" s="1">
        <v>58.77</v>
      </c>
    </row>
    <row r="157" spans="1:3">
      <c r="A157" s="2">
        <v>44355</v>
      </c>
      <c r="B157" s="1">
        <v>45.19</v>
      </c>
      <c r="C157" s="1">
        <v>59.64</v>
      </c>
    </row>
    <row r="158" spans="1:3">
      <c r="A158" s="2">
        <v>44356</v>
      </c>
      <c r="B158" s="1">
        <v>42.54</v>
      </c>
      <c r="C158" s="1">
        <v>57.55</v>
      </c>
    </row>
    <row r="159" spans="1:3">
      <c r="A159" s="2">
        <v>44357</v>
      </c>
      <c r="B159" s="1">
        <v>43.48</v>
      </c>
      <c r="C159" s="1">
        <v>57.75</v>
      </c>
    </row>
    <row r="160" spans="1:3">
      <c r="A160" s="2">
        <v>44358</v>
      </c>
      <c r="B160" s="1">
        <v>44.66</v>
      </c>
      <c r="C160" s="1">
        <v>58.86</v>
      </c>
    </row>
    <row r="161" spans="1:3">
      <c r="A161" s="2">
        <v>44362</v>
      </c>
      <c r="B161" s="1">
        <v>44.9</v>
      </c>
      <c r="C161" s="1">
        <v>58.8</v>
      </c>
    </row>
    <row r="162" spans="1:3">
      <c r="A162" s="2">
        <v>44363</v>
      </c>
      <c r="B162" s="1">
        <v>46.31</v>
      </c>
      <c r="C162" s="1">
        <v>60.13</v>
      </c>
    </row>
    <row r="163" spans="1:3">
      <c r="A163" s="2">
        <v>44364</v>
      </c>
      <c r="B163" s="1">
        <v>46.14</v>
      </c>
      <c r="C163" s="1">
        <v>60.49</v>
      </c>
    </row>
    <row r="164" spans="1:3">
      <c r="A164" s="2">
        <v>44365</v>
      </c>
      <c r="B164" s="1">
        <v>47.66</v>
      </c>
      <c r="C164" s="1">
        <v>61.98</v>
      </c>
    </row>
    <row r="165" spans="1:3">
      <c r="A165" s="2">
        <v>44368</v>
      </c>
      <c r="B165" s="1">
        <v>44.87</v>
      </c>
      <c r="C165" s="1">
        <v>59.86</v>
      </c>
    </row>
    <row r="166" spans="1:3">
      <c r="A166" s="2">
        <v>44369</v>
      </c>
      <c r="B166" s="1">
        <v>43.41</v>
      </c>
      <c r="C166" s="1">
        <v>58.28</v>
      </c>
    </row>
    <row r="167" spans="1:3">
      <c r="A167" s="2">
        <v>44370</v>
      </c>
      <c r="B167" s="1">
        <v>45.53</v>
      </c>
      <c r="C167" s="1">
        <v>59.95</v>
      </c>
    </row>
    <row r="168" spans="1:3">
      <c r="A168" s="2">
        <v>44371</v>
      </c>
      <c r="B168" s="1">
        <v>44.71</v>
      </c>
      <c r="C168" s="1">
        <v>58.98</v>
      </c>
    </row>
    <row r="169" spans="1:3">
      <c r="A169" s="2">
        <v>44372</v>
      </c>
      <c r="B169" s="1">
        <v>46.76</v>
      </c>
      <c r="C169" s="1">
        <v>61.42</v>
      </c>
    </row>
    <row r="170" spans="1:3">
      <c r="A170" s="2">
        <v>44375</v>
      </c>
      <c r="B170" s="1">
        <v>45.37</v>
      </c>
      <c r="C170" s="1">
        <v>59.93</v>
      </c>
    </row>
    <row r="171" spans="1:3">
      <c r="A171" s="2">
        <v>44376</v>
      </c>
      <c r="B171" s="1">
        <v>45.5</v>
      </c>
      <c r="C171" s="1">
        <v>59.67</v>
      </c>
    </row>
    <row r="172" spans="1:3">
      <c r="A172" s="2">
        <v>44377</v>
      </c>
      <c r="B172" s="1">
        <v>45.03</v>
      </c>
      <c r="C172" s="1">
        <v>59.61</v>
      </c>
    </row>
    <row r="173" spans="1:3">
      <c r="A173" s="2">
        <v>44378</v>
      </c>
      <c r="B173" s="1">
        <v>44.78</v>
      </c>
      <c r="C173" s="1">
        <v>59.34</v>
      </c>
    </row>
    <row r="174" spans="1:3">
      <c r="A174" s="2">
        <v>44379</v>
      </c>
      <c r="B174" s="1">
        <v>46.95</v>
      </c>
      <c r="C174" s="1">
        <v>61.67</v>
      </c>
    </row>
    <row r="175" spans="1:3">
      <c r="A175" s="2">
        <v>44382</v>
      </c>
      <c r="B175" s="1">
        <v>47.31</v>
      </c>
      <c r="C175" s="1">
        <v>61.93</v>
      </c>
    </row>
    <row r="176" spans="1:3">
      <c r="A176" s="2">
        <v>44383</v>
      </c>
      <c r="B176" s="1">
        <v>48.34</v>
      </c>
      <c r="C176" s="1">
        <v>63.01</v>
      </c>
    </row>
    <row r="177" spans="1:3">
      <c r="A177" s="2">
        <v>44384</v>
      </c>
      <c r="B177" s="1">
        <v>48.02</v>
      </c>
      <c r="C177" s="1">
        <v>62.34</v>
      </c>
    </row>
    <row r="178" spans="1:3">
      <c r="A178" s="2">
        <v>44385</v>
      </c>
      <c r="B178" s="1">
        <v>47.26</v>
      </c>
      <c r="C178" s="1">
        <v>61.89</v>
      </c>
    </row>
    <row r="179" spans="1:3">
      <c r="A179" s="2">
        <v>44386</v>
      </c>
      <c r="B179" s="1">
        <v>47.31</v>
      </c>
      <c r="C179" s="1">
        <v>62.09</v>
      </c>
    </row>
    <row r="180" spans="1:3">
      <c r="A180" s="2">
        <v>44389</v>
      </c>
      <c r="B180" s="1">
        <v>47.25</v>
      </c>
      <c r="C180" s="1">
        <v>61.99</v>
      </c>
    </row>
    <row r="181" spans="1:3">
      <c r="A181" s="2">
        <v>44390</v>
      </c>
      <c r="B181" s="1">
        <v>45.65</v>
      </c>
      <c r="C181" s="1">
        <v>60.34</v>
      </c>
    </row>
    <row r="182" spans="1:3">
      <c r="A182" s="2">
        <v>44391</v>
      </c>
      <c r="B182" s="1">
        <v>46.54</v>
      </c>
      <c r="C182" s="1">
        <v>61.05</v>
      </c>
    </row>
    <row r="183" spans="1:3">
      <c r="A183" s="2">
        <v>44392</v>
      </c>
      <c r="B183" s="1">
        <v>46.45</v>
      </c>
      <c r="C183" s="1">
        <v>61.02</v>
      </c>
    </row>
    <row r="184" spans="1:3">
      <c r="A184" s="2">
        <v>44393</v>
      </c>
      <c r="B184" s="1">
        <v>47.08</v>
      </c>
      <c r="C184" s="1">
        <v>61.96</v>
      </c>
    </row>
    <row r="185" spans="1:3">
      <c r="A185" s="2">
        <v>44396</v>
      </c>
      <c r="B185" s="1">
        <v>45.79</v>
      </c>
      <c r="C185" s="1">
        <v>60.98</v>
      </c>
    </row>
    <row r="186" spans="1:3">
      <c r="A186" s="2">
        <v>44397</v>
      </c>
      <c r="B186" s="1">
        <v>44.28</v>
      </c>
      <c r="C186" s="1">
        <v>59.56</v>
      </c>
    </row>
    <row r="187" spans="1:3">
      <c r="A187" s="2">
        <v>44398</v>
      </c>
      <c r="B187" s="1">
        <v>47.27</v>
      </c>
      <c r="C187" s="1">
        <v>61.96</v>
      </c>
    </row>
    <row r="188" spans="1:3">
      <c r="A188" s="2">
        <v>44399</v>
      </c>
      <c r="B188" s="1">
        <v>46.61</v>
      </c>
      <c r="C188" s="1">
        <v>61.65</v>
      </c>
    </row>
    <row r="189" spans="1:3">
      <c r="A189" s="2">
        <v>44400</v>
      </c>
      <c r="B189" s="1">
        <v>45.38</v>
      </c>
      <c r="C189" s="1">
        <v>60.33</v>
      </c>
    </row>
    <row r="190" spans="1:3">
      <c r="A190" s="2">
        <v>44403</v>
      </c>
      <c r="B190" s="1">
        <v>47.07</v>
      </c>
      <c r="C190" s="1">
        <v>61.96</v>
      </c>
    </row>
    <row r="191" spans="1:3">
      <c r="A191" s="2">
        <v>44404</v>
      </c>
      <c r="B191" s="1">
        <v>48.82</v>
      </c>
      <c r="C191" s="1">
        <v>63.93</v>
      </c>
    </row>
    <row r="192" spans="1:3">
      <c r="A192" s="2">
        <v>44405</v>
      </c>
      <c r="B192" s="1">
        <v>46.59</v>
      </c>
      <c r="C192" s="1">
        <v>61.18</v>
      </c>
    </row>
    <row r="193" spans="1:3">
      <c r="A193" s="2">
        <v>44406</v>
      </c>
      <c r="B193" s="1">
        <v>47.9</v>
      </c>
      <c r="C193" s="1">
        <v>63.08</v>
      </c>
    </row>
    <row r="194" spans="1:3">
      <c r="A194" s="2">
        <v>44407</v>
      </c>
      <c r="B194" s="1">
        <v>47.27</v>
      </c>
      <c r="C194" s="1">
        <v>62.46</v>
      </c>
    </row>
    <row r="195" spans="1:3">
      <c r="A195" s="2">
        <v>44410</v>
      </c>
      <c r="B195" s="1">
        <v>47.91</v>
      </c>
      <c r="C195" s="1">
        <v>62.82</v>
      </c>
    </row>
    <row r="196" spans="1:3">
      <c r="A196" s="2">
        <v>44411</v>
      </c>
      <c r="B196" s="1">
        <v>45.84</v>
      </c>
      <c r="C196" s="1">
        <v>60.75</v>
      </c>
    </row>
    <row r="197" spans="1:3">
      <c r="A197" s="2">
        <v>44412</v>
      </c>
      <c r="B197" s="1">
        <v>47.22</v>
      </c>
      <c r="C197" s="1">
        <v>61.91</v>
      </c>
    </row>
    <row r="198" spans="1:3">
      <c r="A198" s="2">
        <v>44413</v>
      </c>
      <c r="B198" s="1">
        <v>46.23</v>
      </c>
      <c r="C198" s="1">
        <v>61.32</v>
      </c>
    </row>
    <row r="199" spans="1:3">
      <c r="A199" s="2">
        <v>44414</v>
      </c>
      <c r="B199" s="1">
        <v>47.51</v>
      </c>
      <c r="C199" s="1">
        <v>62.3</v>
      </c>
    </row>
    <row r="200" spans="1:3">
      <c r="A200" s="2">
        <v>44417</v>
      </c>
      <c r="B200" s="1">
        <v>46.45</v>
      </c>
      <c r="C200" s="1">
        <v>61.32</v>
      </c>
    </row>
    <row r="201" spans="1:3">
      <c r="A201" s="2">
        <v>44418</v>
      </c>
      <c r="B201" s="1">
        <v>47.01</v>
      </c>
      <c r="C201" s="1">
        <v>61.64</v>
      </c>
    </row>
    <row r="202" spans="1:3">
      <c r="A202" s="2">
        <v>44419</v>
      </c>
      <c r="B202" s="1">
        <v>43.38</v>
      </c>
      <c r="C202" s="1">
        <v>58.7</v>
      </c>
    </row>
    <row r="203" spans="1:3">
      <c r="A203" s="2">
        <v>44420</v>
      </c>
      <c r="B203" s="1">
        <v>44.33</v>
      </c>
      <c r="C203" s="1">
        <v>59.5</v>
      </c>
    </row>
    <row r="204" spans="1:3">
      <c r="A204" s="2">
        <v>44421</v>
      </c>
      <c r="B204" s="1">
        <v>44.95</v>
      </c>
      <c r="C204" s="1">
        <v>59.86</v>
      </c>
    </row>
    <row r="205" spans="1:3">
      <c r="A205" s="2">
        <v>44424</v>
      </c>
      <c r="B205" s="1">
        <v>43.73</v>
      </c>
      <c r="C205" s="1">
        <v>58.64</v>
      </c>
    </row>
    <row r="206" spans="1:3">
      <c r="A206" s="2">
        <v>44425</v>
      </c>
      <c r="B206" s="1">
        <v>42.62</v>
      </c>
      <c r="C206" s="1">
        <v>57.23</v>
      </c>
    </row>
    <row r="207" spans="1:3">
      <c r="A207" s="2">
        <v>44426</v>
      </c>
      <c r="B207" s="1">
        <v>45.23</v>
      </c>
      <c r="C207" s="1">
        <v>60.1</v>
      </c>
    </row>
    <row r="208" spans="1:3">
      <c r="A208" s="2">
        <v>44427</v>
      </c>
      <c r="B208" s="1">
        <v>47</v>
      </c>
      <c r="C208" s="1">
        <v>61.82</v>
      </c>
    </row>
    <row r="209" spans="1:3">
      <c r="A209" s="2">
        <v>44428</v>
      </c>
      <c r="B209" s="1">
        <v>48.1</v>
      </c>
      <c r="C209" s="1">
        <v>62.56</v>
      </c>
    </row>
    <row r="210" spans="1:3">
      <c r="A210" s="2">
        <v>44431</v>
      </c>
      <c r="B210" s="1">
        <v>45.25</v>
      </c>
      <c r="C210" s="1">
        <v>59.66</v>
      </c>
    </row>
    <row r="211" spans="1:3">
      <c r="A211" s="2">
        <v>44432</v>
      </c>
      <c r="B211" s="1">
        <v>45.46</v>
      </c>
      <c r="C211" s="1">
        <v>60.5</v>
      </c>
    </row>
    <row r="212" spans="1:3">
      <c r="A212" s="2">
        <v>44433</v>
      </c>
      <c r="B212" s="1">
        <v>44.17</v>
      </c>
      <c r="C212" s="1">
        <v>59.44</v>
      </c>
    </row>
    <row r="213" spans="1:3">
      <c r="A213" s="2">
        <v>44434</v>
      </c>
      <c r="B213" s="1">
        <v>42.28</v>
      </c>
      <c r="C213" s="1">
        <v>58.28</v>
      </c>
    </row>
    <row r="214" spans="1:3">
      <c r="A214" s="2">
        <v>44435</v>
      </c>
      <c r="B214" s="1">
        <v>44.4</v>
      </c>
      <c r="C214" s="1">
        <v>59.43</v>
      </c>
    </row>
    <row r="215" spans="1:3">
      <c r="A215" s="2">
        <v>44438</v>
      </c>
      <c r="B215" s="1">
        <v>46.17</v>
      </c>
      <c r="C215" s="1">
        <v>61.1</v>
      </c>
    </row>
    <row r="216" spans="1:3">
      <c r="A216" s="2">
        <v>44439</v>
      </c>
      <c r="B216" s="1">
        <v>45.14</v>
      </c>
      <c r="C216" s="1">
        <v>60.63</v>
      </c>
    </row>
    <row r="217" spans="1:3">
      <c r="A217" s="2">
        <v>44440</v>
      </c>
      <c r="B217" s="1">
        <v>46.85</v>
      </c>
      <c r="C217" s="1">
        <v>61.73</v>
      </c>
    </row>
    <row r="218" spans="1:3">
      <c r="A218" s="2">
        <v>44441</v>
      </c>
      <c r="B218" s="1">
        <v>44.82</v>
      </c>
      <c r="C218" s="1">
        <v>60.45</v>
      </c>
    </row>
    <row r="219" spans="1:3">
      <c r="A219" s="2">
        <v>44442</v>
      </c>
      <c r="B219" s="1">
        <v>44.23</v>
      </c>
      <c r="C219" s="1">
        <v>59.39</v>
      </c>
    </row>
    <row r="220" spans="1:3">
      <c r="A220" s="2">
        <v>44445</v>
      </c>
      <c r="B220" s="1">
        <v>44.94</v>
      </c>
      <c r="C220" s="1">
        <v>59.58</v>
      </c>
    </row>
    <row r="221" spans="1:3">
      <c r="A221" s="2">
        <v>44446</v>
      </c>
      <c r="B221" s="1">
        <v>43.03</v>
      </c>
      <c r="C221" s="1">
        <v>58.55</v>
      </c>
    </row>
    <row r="222" spans="1:3">
      <c r="A222" s="2">
        <v>44447</v>
      </c>
      <c r="B222" s="1">
        <v>41.78</v>
      </c>
      <c r="C222" s="1">
        <v>57.73</v>
      </c>
    </row>
    <row r="223" spans="1:3">
      <c r="A223" s="2">
        <v>44448</v>
      </c>
      <c r="B223" s="1">
        <v>41.2</v>
      </c>
      <c r="C223" s="1">
        <v>57.25</v>
      </c>
    </row>
    <row r="224" spans="1:3">
      <c r="A224" s="2">
        <v>44449</v>
      </c>
      <c r="B224" s="1">
        <v>43.92</v>
      </c>
      <c r="C224" s="1">
        <v>59.65</v>
      </c>
    </row>
    <row r="225" spans="1:3">
      <c r="A225" s="2">
        <v>44452</v>
      </c>
      <c r="B225" s="1">
        <v>44.25</v>
      </c>
      <c r="C225" s="1">
        <v>60.21</v>
      </c>
    </row>
    <row r="226" spans="1:3">
      <c r="A226" s="2">
        <v>44453</v>
      </c>
      <c r="B226" s="1">
        <v>43.83</v>
      </c>
      <c r="C226" s="1">
        <v>59.41</v>
      </c>
    </row>
    <row r="227" spans="1:3">
      <c r="A227" s="2">
        <v>44454</v>
      </c>
      <c r="B227" s="1">
        <v>44.54</v>
      </c>
      <c r="C227" s="1">
        <v>60.12</v>
      </c>
    </row>
    <row r="228" spans="1:3">
      <c r="A228" s="2">
        <v>44455</v>
      </c>
      <c r="B228" s="1">
        <v>43.28</v>
      </c>
      <c r="C228" s="1">
        <v>58.8</v>
      </c>
    </row>
    <row r="229" spans="1:3">
      <c r="A229" s="2">
        <v>44456</v>
      </c>
      <c r="B229" s="1">
        <v>44.01</v>
      </c>
      <c r="C229" s="1">
        <v>59.58</v>
      </c>
    </row>
    <row r="230" spans="1:3">
      <c r="A230" s="2">
        <v>44461</v>
      </c>
      <c r="B230" s="1">
        <v>43.36</v>
      </c>
      <c r="C230" s="1">
        <v>59.36</v>
      </c>
    </row>
    <row r="231" spans="1:3">
      <c r="A231" s="2">
        <v>44462</v>
      </c>
      <c r="B231" s="1">
        <v>42.8</v>
      </c>
      <c r="C231" s="1">
        <v>58.64</v>
      </c>
    </row>
    <row r="232" spans="1:3">
      <c r="A232" s="2">
        <v>44463</v>
      </c>
      <c r="B232" s="1">
        <v>43.35</v>
      </c>
      <c r="C232" s="1">
        <v>59.1</v>
      </c>
    </row>
    <row r="233" spans="1:3">
      <c r="A233" s="2">
        <v>44466</v>
      </c>
      <c r="B233" s="1">
        <v>43.76</v>
      </c>
      <c r="C233" s="1">
        <v>58.96</v>
      </c>
    </row>
    <row r="234" spans="1:3">
      <c r="A234" s="2">
        <v>44467</v>
      </c>
      <c r="B234" s="1">
        <v>44.86</v>
      </c>
      <c r="C234" s="1">
        <v>60.62</v>
      </c>
    </row>
    <row r="235" spans="1:3">
      <c r="A235" s="2">
        <v>44468</v>
      </c>
      <c r="B235" s="1">
        <v>44.54</v>
      </c>
      <c r="C235" s="1">
        <v>59.82</v>
      </c>
    </row>
    <row r="236" spans="1:3">
      <c r="A236" s="2">
        <v>44469</v>
      </c>
      <c r="B236" s="1">
        <v>45.97</v>
      </c>
      <c r="C236" s="1">
        <v>61.22</v>
      </c>
    </row>
    <row r="237" spans="1:3">
      <c r="A237" s="2">
        <v>44477</v>
      </c>
      <c r="B237" s="1">
        <v>45.31</v>
      </c>
      <c r="C237" s="1">
        <v>60.32</v>
      </c>
    </row>
    <row r="238" spans="1:3">
      <c r="A238" s="2">
        <v>44480</v>
      </c>
      <c r="B238" s="1">
        <v>43.64</v>
      </c>
      <c r="C238" s="1">
        <v>59.4</v>
      </c>
    </row>
    <row r="239" spans="1:3">
      <c r="A239" s="2">
        <v>44481</v>
      </c>
      <c r="B239" s="1">
        <v>43.05</v>
      </c>
      <c r="C239" s="1">
        <v>58.84</v>
      </c>
    </row>
    <row r="240" spans="1:3">
      <c r="A240" s="2">
        <v>44482</v>
      </c>
      <c r="B240" s="1">
        <v>45.22</v>
      </c>
      <c r="C240" s="1">
        <v>60.59</v>
      </c>
    </row>
    <row r="241" spans="1:3">
      <c r="A241" s="2">
        <v>44483</v>
      </c>
      <c r="B241" s="1">
        <v>43.74</v>
      </c>
      <c r="C241" s="1">
        <v>59.49</v>
      </c>
    </row>
    <row r="242" spans="1:3">
      <c r="A242" s="2">
        <v>44484</v>
      </c>
      <c r="B242" s="1">
        <v>45.93</v>
      </c>
      <c r="C242" s="1">
        <v>60.91</v>
      </c>
    </row>
    <row r="243" spans="1:3">
      <c r="A243" s="2">
        <v>44487</v>
      </c>
      <c r="B243" s="1">
        <v>47.16</v>
      </c>
      <c r="C243" s="1">
        <v>62.25</v>
      </c>
    </row>
    <row r="244" spans="1:3">
      <c r="A244" s="2">
        <v>44488</v>
      </c>
      <c r="B244" s="1">
        <v>44.73</v>
      </c>
      <c r="C244" s="1">
        <v>61.09</v>
      </c>
    </row>
    <row r="245" spans="1:3">
      <c r="A245" s="2">
        <v>44489</v>
      </c>
      <c r="B245" s="1">
        <v>45.33</v>
      </c>
      <c r="C245" s="1">
        <v>61.36</v>
      </c>
    </row>
    <row r="246" spans="1:3">
      <c r="A246" s="2">
        <v>44490</v>
      </c>
      <c r="B246" s="1">
        <v>44.28</v>
      </c>
      <c r="C246" s="1">
        <v>60.48</v>
      </c>
    </row>
    <row r="247" spans="1:3">
      <c r="A247" s="2">
        <v>44491</v>
      </c>
      <c r="B247" s="1">
        <v>45.02</v>
      </c>
      <c r="C247" s="1">
        <v>60.88</v>
      </c>
    </row>
    <row r="248" spans="1:3">
      <c r="A248" s="2">
        <v>44494</v>
      </c>
      <c r="B248" s="1">
        <v>45.5</v>
      </c>
      <c r="C248" s="1">
        <v>61.4</v>
      </c>
    </row>
    <row r="249" spans="1:3">
      <c r="A249" s="2">
        <v>44495</v>
      </c>
      <c r="B249" s="1">
        <v>46.04</v>
      </c>
      <c r="C249" s="1">
        <v>61.71</v>
      </c>
    </row>
    <row r="250" spans="1:3">
      <c r="A250" s="2">
        <v>44496</v>
      </c>
      <c r="B250" s="1">
        <v>44.78</v>
      </c>
      <c r="C250" s="1">
        <v>60.49</v>
      </c>
    </row>
    <row r="251" spans="1:3">
      <c r="A251" s="2">
        <v>44497</v>
      </c>
      <c r="B251" s="1">
        <v>46.06</v>
      </c>
      <c r="C251" s="1">
        <v>61.56</v>
      </c>
    </row>
    <row r="252" spans="1:3">
      <c r="A252" s="2">
        <v>44498</v>
      </c>
      <c r="B252" s="1">
        <v>47.54</v>
      </c>
      <c r="C252" s="1">
        <v>63.14</v>
      </c>
    </row>
    <row r="253" spans="1:3">
      <c r="A253" s="2">
        <v>44501</v>
      </c>
      <c r="B253" s="1">
        <v>46.2</v>
      </c>
      <c r="C253" s="1">
        <v>62.02</v>
      </c>
    </row>
    <row r="254" spans="1:3">
      <c r="A254" s="2">
        <v>44502</v>
      </c>
      <c r="B254" s="1">
        <v>43.21</v>
      </c>
      <c r="C254" s="1">
        <v>59.06</v>
      </c>
    </row>
    <row r="255" spans="1:3">
      <c r="A255" s="2">
        <v>44503</v>
      </c>
      <c r="B255" s="1">
        <v>45</v>
      </c>
      <c r="C255" s="1">
        <v>60.8</v>
      </c>
    </row>
    <row r="256" spans="1:3">
      <c r="A256" s="2">
        <v>44504</v>
      </c>
      <c r="B256" s="1">
        <v>43.78</v>
      </c>
      <c r="C256" s="1">
        <v>59.7</v>
      </c>
    </row>
    <row r="257" spans="1:3">
      <c r="A257" s="2">
        <v>44505</v>
      </c>
      <c r="B257" s="1">
        <v>42.59</v>
      </c>
      <c r="C257" s="1">
        <v>58.32</v>
      </c>
    </row>
    <row r="258" spans="1:3">
      <c r="A258" s="2">
        <v>44508</v>
      </c>
      <c r="B258" s="1">
        <v>44.43</v>
      </c>
      <c r="C258" s="1">
        <v>59.22</v>
      </c>
    </row>
    <row r="259" spans="1:3">
      <c r="A259" s="2">
        <v>44509</v>
      </c>
      <c r="B259" s="1">
        <v>43.07</v>
      </c>
      <c r="C259" s="1">
        <v>58.23</v>
      </c>
    </row>
    <row r="260" spans="1:3">
      <c r="A260" s="2">
        <v>44510</v>
      </c>
      <c r="B260" s="1">
        <v>43.45</v>
      </c>
      <c r="C260" s="1">
        <v>58.27</v>
      </c>
    </row>
    <row r="261" spans="1:3">
      <c r="A261" s="2">
        <v>44511</v>
      </c>
      <c r="B261" s="1">
        <v>41.74</v>
      </c>
      <c r="C261" s="1">
        <v>56.78</v>
      </c>
    </row>
    <row r="262" spans="1:3">
      <c r="A262" s="2">
        <v>44512</v>
      </c>
      <c r="B262" s="1">
        <v>38.84</v>
      </c>
      <c r="C262" s="1">
        <v>54.43</v>
      </c>
    </row>
    <row r="263" spans="1:3">
      <c r="A263" s="2">
        <v>44515</v>
      </c>
      <c r="B263" s="1">
        <v>37.82</v>
      </c>
      <c r="C263" s="1">
        <v>52.86</v>
      </c>
    </row>
    <row r="264" spans="1:3">
      <c r="A264" s="2">
        <v>44516</v>
      </c>
      <c r="B264" s="1">
        <v>37.8</v>
      </c>
      <c r="C264" s="1">
        <v>53.15</v>
      </c>
    </row>
    <row r="265" spans="1:3">
      <c r="A265" s="2">
        <v>44517</v>
      </c>
      <c r="B265" s="1">
        <v>38.37</v>
      </c>
      <c r="C265" s="1">
        <v>53.73</v>
      </c>
    </row>
    <row r="266" spans="1:3">
      <c r="A266" s="2">
        <v>44518</v>
      </c>
      <c r="B266" s="1">
        <v>38.74</v>
      </c>
      <c r="C266" s="1">
        <v>53.95</v>
      </c>
    </row>
    <row r="267" spans="1:3">
      <c r="A267" s="2">
        <v>44519</v>
      </c>
      <c r="B267" s="1">
        <v>39.53</v>
      </c>
      <c r="C267" s="1">
        <v>55.05</v>
      </c>
    </row>
    <row r="268" spans="1:3">
      <c r="A268" s="2">
        <v>44522</v>
      </c>
      <c r="B268" s="1">
        <v>41.08</v>
      </c>
      <c r="C268" s="1">
        <v>56.74</v>
      </c>
    </row>
    <row r="269" spans="1:3">
      <c r="A269" s="2">
        <v>44523</v>
      </c>
      <c r="B269" s="1">
        <v>39.95</v>
      </c>
      <c r="C269" s="1">
        <v>55.04</v>
      </c>
    </row>
    <row r="270" spans="1:3">
      <c r="A270" s="2">
        <v>44524</v>
      </c>
      <c r="B270" s="1">
        <v>40.09</v>
      </c>
      <c r="C270" s="1">
        <v>55.16</v>
      </c>
    </row>
    <row r="271" spans="1:3">
      <c r="A271" s="2">
        <v>44525</v>
      </c>
      <c r="B271" s="1">
        <v>38.11</v>
      </c>
      <c r="C271" s="1">
        <v>53.26</v>
      </c>
    </row>
    <row r="272" spans="1:3">
      <c r="A272" s="2">
        <v>44526</v>
      </c>
      <c r="B272" s="1">
        <v>38.39</v>
      </c>
      <c r="C272" s="1">
        <v>53.31</v>
      </c>
    </row>
    <row r="273" spans="1:3">
      <c r="A273" s="2">
        <v>44529</v>
      </c>
      <c r="B273" s="1">
        <v>39.5</v>
      </c>
      <c r="C273" s="1">
        <v>54.34</v>
      </c>
    </row>
    <row r="274" spans="1:3">
      <c r="A274" s="2">
        <v>44530</v>
      </c>
      <c r="B274" s="1">
        <v>37.33</v>
      </c>
      <c r="C274" s="1">
        <v>52.29</v>
      </c>
    </row>
    <row r="275" spans="1:3">
      <c r="A275" s="2">
        <v>44531</v>
      </c>
      <c r="B275" s="1">
        <v>37.6</v>
      </c>
      <c r="C275" s="1">
        <v>52.51</v>
      </c>
    </row>
    <row r="276" spans="1:3">
      <c r="A276" s="2">
        <v>44532</v>
      </c>
      <c r="B276" s="1">
        <v>37.44</v>
      </c>
      <c r="C276" s="1">
        <v>52.21</v>
      </c>
    </row>
    <row r="277" spans="1:3">
      <c r="A277" s="2">
        <v>44533</v>
      </c>
      <c r="B277" s="1">
        <v>40.35</v>
      </c>
      <c r="C277" s="1">
        <v>54.97</v>
      </c>
    </row>
    <row r="278" spans="1:3">
      <c r="A278" s="2">
        <v>44536</v>
      </c>
      <c r="B278" s="1">
        <v>39.8</v>
      </c>
      <c r="C278" s="1">
        <v>54.39</v>
      </c>
    </row>
    <row r="279" spans="1:3">
      <c r="A279" s="2">
        <v>44537</v>
      </c>
      <c r="B279" s="1">
        <v>40.76</v>
      </c>
      <c r="C279" s="1">
        <v>55.69</v>
      </c>
    </row>
    <row r="280" spans="1:3">
      <c r="A280" s="2">
        <v>44538</v>
      </c>
      <c r="B280" s="1">
        <v>41.61</v>
      </c>
      <c r="C280" s="1">
        <v>56.46</v>
      </c>
    </row>
    <row r="281" spans="1:3">
      <c r="A281" s="2">
        <v>44539</v>
      </c>
      <c r="B281" s="1">
        <v>42.04</v>
      </c>
      <c r="C281" s="1">
        <v>56.57</v>
      </c>
    </row>
    <row r="282" spans="1:3">
      <c r="A282" s="2">
        <v>44540</v>
      </c>
      <c r="B282" s="1">
        <v>41.77</v>
      </c>
      <c r="C282" s="1">
        <v>56.44</v>
      </c>
    </row>
    <row r="283" spans="1:3">
      <c r="A283" s="2">
        <v>44543</v>
      </c>
      <c r="B283" s="1">
        <v>42.41</v>
      </c>
      <c r="C283" s="1">
        <v>57.05</v>
      </c>
    </row>
    <row r="284" spans="1:3">
      <c r="A284" s="2">
        <v>44544</v>
      </c>
      <c r="B284" s="1">
        <v>38.01</v>
      </c>
      <c r="C284" s="1">
        <v>53.19</v>
      </c>
    </row>
    <row r="285" spans="1:3">
      <c r="A285" s="2">
        <v>44545</v>
      </c>
      <c r="B285" s="1">
        <v>37.7</v>
      </c>
      <c r="C285" s="1">
        <v>52.62</v>
      </c>
    </row>
    <row r="286" spans="1:3">
      <c r="A286" s="2">
        <v>44546</v>
      </c>
      <c r="B286" s="1">
        <v>37.85</v>
      </c>
      <c r="C286" s="1">
        <v>52.55</v>
      </c>
    </row>
    <row r="287" spans="1:3">
      <c r="A287" s="2">
        <v>44547</v>
      </c>
      <c r="B287" s="1">
        <v>37.32</v>
      </c>
      <c r="C287" s="1">
        <v>52.52</v>
      </c>
    </row>
    <row r="288" spans="1:3">
      <c r="A288" s="2">
        <v>44550</v>
      </c>
      <c r="B288" s="1">
        <v>38</v>
      </c>
      <c r="C288" s="1">
        <v>52.81</v>
      </c>
    </row>
    <row r="289" spans="1:3">
      <c r="A289" s="2">
        <v>44551</v>
      </c>
      <c r="B289" s="1">
        <v>35.46</v>
      </c>
      <c r="C289" s="1">
        <v>49.98</v>
      </c>
    </row>
    <row r="290" spans="1:3">
      <c r="A290" s="2">
        <v>44552</v>
      </c>
      <c r="B290" s="1">
        <v>34.93</v>
      </c>
      <c r="C290" s="1">
        <v>49.56</v>
      </c>
    </row>
    <row r="291" spans="1:3">
      <c r="A291" s="2">
        <v>44553</v>
      </c>
      <c r="B291" s="1">
        <v>37.22</v>
      </c>
      <c r="C291" s="1">
        <v>51.95</v>
      </c>
    </row>
    <row r="292" spans="1:3">
      <c r="A292" s="2">
        <v>44554</v>
      </c>
      <c r="B292" s="1">
        <v>38.27</v>
      </c>
      <c r="C292" s="1">
        <v>52.4</v>
      </c>
    </row>
    <row r="293" spans="1:3">
      <c r="A293" s="2">
        <v>44557</v>
      </c>
      <c r="B293" s="1">
        <v>37.37</v>
      </c>
      <c r="C293" s="1">
        <v>52</v>
      </c>
    </row>
    <row r="294" spans="1:3">
      <c r="A294" s="2">
        <v>44558</v>
      </c>
      <c r="B294" s="1">
        <v>39.06</v>
      </c>
      <c r="C294" s="1">
        <v>53.74</v>
      </c>
    </row>
    <row r="295" spans="1:3">
      <c r="A295" s="2">
        <v>44559</v>
      </c>
      <c r="B295" s="1">
        <v>38.47</v>
      </c>
      <c r="C295" s="1">
        <v>52.8</v>
      </c>
    </row>
    <row r="296" spans="1:3">
      <c r="A296" s="2">
        <v>44560</v>
      </c>
      <c r="B296" s="1">
        <v>36.69</v>
      </c>
      <c r="C296" s="1">
        <v>51.13</v>
      </c>
    </row>
    <row r="297" spans="1:3">
      <c r="A297" s="2">
        <v>44561</v>
      </c>
      <c r="B297" s="1">
        <v>37.41</v>
      </c>
      <c r="C297" s="1">
        <v>51.63</v>
      </c>
    </row>
    <row r="298" spans="1:3">
      <c r="A298" s="2">
        <v>44565</v>
      </c>
      <c r="B298" s="1">
        <v>36.2</v>
      </c>
      <c r="C298" s="1">
        <v>50.51</v>
      </c>
    </row>
    <row r="299" spans="1:3">
      <c r="A299" s="2">
        <v>44566</v>
      </c>
      <c r="B299" s="1">
        <v>37.27</v>
      </c>
      <c r="C299" s="1">
        <v>51.29</v>
      </c>
    </row>
    <row r="300" spans="1:3">
      <c r="A300" s="2">
        <v>44567</v>
      </c>
      <c r="B300" s="1">
        <v>37.7</v>
      </c>
      <c r="C300" s="1">
        <v>52.09</v>
      </c>
    </row>
    <row r="301" spans="1:3">
      <c r="A301" s="2">
        <v>44568</v>
      </c>
      <c r="B301" s="1">
        <v>35.92</v>
      </c>
      <c r="C301" s="1">
        <v>50.32</v>
      </c>
    </row>
    <row r="302" spans="1:3">
      <c r="A302" s="2">
        <v>44571</v>
      </c>
      <c r="B302" s="1">
        <v>36.86</v>
      </c>
      <c r="C302" s="1">
        <v>51.43</v>
      </c>
    </row>
    <row r="303" spans="1:3">
      <c r="A303" s="2">
        <v>44572</v>
      </c>
      <c r="B303" s="1">
        <v>36.05</v>
      </c>
      <c r="C303" s="1">
        <v>50.85</v>
      </c>
    </row>
    <row r="304" spans="1:3">
      <c r="A304" s="2">
        <v>44573</v>
      </c>
      <c r="B304" s="1">
        <v>37.51</v>
      </c>
      <c r="C304" s="1">
        <v>52.01</v>
      </c>
    </row>
    <row r="305" spans="1:3">
      <c r="A305" s="2">
        <v>44574</v>
      </c>
      <c r="B305" s="1">
        <v>36.36</v>
      </c>
      <c r="C305" s="1">
        <v>51.2</v>
      </c>
    </row>
    <row r="306" spans="1:3">
      <c r="A306" s="2">
        <v>44575</v>
      </c>
      <c r="B306" s="1">
        <v>35.43</v>
      </c>
      <c r="C306" s="1">
        <v>50.47</v>
      </c>
    </row>
    <row r="307" spans="1:3">
      <c r="A307" s="2">
        <v>44578</v>
      </c>
      <c r="B307" s="1">
        <v>35.04</v>
      </c>
      <c r="C307" s="1">
        <v>50.36</v>
      </c>
    </row>
    <row r="308" spans="1:3">
      <c r="A308" s="2">
        <v>44579</v>
      </c>
      <c r="B308" s="1">
        <v>35.83</v>
      </c>
      <c r="C308" s="1">
        <v>50.85</v>
      </c>
    </row>
    <row r="309" spans="1:3">
      <c r="A309" s="2">
        <v>44580</v>
      </c>
      <c r="B309" s="1">
        <v>36.86</v>
      </c>
      <c r="C309" s="1">
        <v>52.42</v>
      </c>
    </row>
    <row r="310" spans="1:3">
      <c r="A310" s="2">
        <v>44581</v>
      </c>
      <c r="B310" s="1">
        <v>37.3</v>
      </c>
      <c r="C310" s="1">
        <v>51.66</v>
      </c>
    </row>
    <row r="311" spans="1:3">
      <c r="A311" s="2">
        <v>44582</v>
      </c>
      <c r="B311" s="1">
        <v>38.36</v>
      </c>
      <c r="C311" s="1">
        <v>53.36</v>
      </c>
    </row>
    <row r="312" spans="1:3">
      <c r="A312" s="2">
        <v>44585</v>
      </c>
      <c r="B312" s="1">
        <v>39.12</v>
      </c>
      <c r="C312" s="1">
        <v>54.36</v>
      </c>
    </row>
    <row r="313" spans="1:3">
      <c r="A313" s="2">
        <v>44586</v>
      </c>
      <c r="B313" s="1">
        <v>35.43</v>
      </c>
      <c r="C313" s="1">
        <v>50.36</v>
      </c>
    </row>
    <row r="314" spans="1:3">
      <c r="A314" s="2">
        <v>44587</v>
      </c>
      <c r="B314" s="1">
        <v>39.09</v>
      </c>
      <c r="C314" s="1">
        <v>54.19</v>
      </c>
    </row>
    <row r="315" spans="1:3">
      <c r="A315" s="2">
        <v>44588</v>
      </c>
      <c r="B315" s="1">
        <v>39.44</v>
      </c>
      <c r="C315" s="1">
        <v>54.27</v>
      </c>
    </row>
    <row r="316" spans="1:3">
      <c r="A316" s="2">
        <v>44589</v>
      </c>
      <c r="B316" s="1">
        <v>40.95</v>
      </c>
      <c r="C316" s="1">
        <v>55.62</v>
      </c>
    </row>
    <row r="317" spans="1:3">
      <c r="A317" s="2">
        <v>44599</v>
      </c>
      <c r="B317" s="1">
        <v>39.65</v>
      </c>
      <c r="C317" s="1">
        <v>53.91</v>
      </c>
    </row>
    <row r="318" spans="1:3">
      <c r="A318" s="2">
        <v>44600</v>
      </c>
      <c r="B318" s="1">
        <v>40.43</v>
      </c>
      <c r="C318" s="1">
        <v>54.82</v>
      </c>
    </row>
    <row r="319" spans="1:3">
      <c r="A319" s="2">
        <v>44601</v>
      </c>
      <c r="B319" s="1">
        <v>38.69</v>
      </c>
      <c r="C319" s="1">
        <v>54.03</v>
      </c>
    </row>
    <row r="320" spans="1:3">
      <c r="A320" s="2">
        <v>44602</v>
      </c>
      <c r="B320" s="1">
        <v>41.19</v>
      </c>
      <c r="C320" s="1">
        <v>56.47</v>
      </c>
    </row>
    <row r="321" spans="1:3">
      <c r="A321" s="2">
        <v>44603</v>
      </c>
      <c r="B321" s="1">
        <v>41.1</v>
      </c>
      <c r="C321" s="1">
        <v>56.16</v>
      </c>
    </row>
    <row r="322" spans="1:3">
      <c r="A322" s="2">
        <v>44606</v>
      </c>
      <c r="B322" s="1">
        <v>41.32</v>
      </c>
      <c r="C322" s="1">
        <v>56.36</v>
      </c>
    </row>
    <row r="323" spans="1:3">
      <c r="A323" s="2">
        <v>44607</v>
      </c>
      <c r="B323" s="1">
        <v>41.43</v>
      </c>
      <c r="C323" s="1">
        <v>56.3</v>
      </c>
    </row>
    <row r="324" spans="1:3">
      <c r="A324" s="2">
        <v>44608</v>
      </c>
      <c r="B324" s="1">
        <v>39.2</v>
      </c>
      <c r="C324" s="1">
        <v>53.93</v>
      </c>
    </row>
    <row r="325" spans="1:3">
      <c r="A325" s="2">
        <v>44609</v>
      </c>
      <c r="B325" s="1">
        <v>40.07</v>
      </c>
      <c r="C325" s="1">
        <v>54.75</v>
      </c>
    </row>
    <row r="326" spans="1:3">
      <c r="A326" s="2">
        <v>44610</v>
      </c>
      <c r="B326" s="1">
        <v>38.91</v>
      </c>
      <c r="C326" s="1">
        <v>54.13</v>
      </c>
    </row>
    <row r="327" spans="1:3">
      <c r="A327" s="2">
        <v>44613</v>
      </c>
      <c r="B327" s="1">
        <v>37.69</v>
      </c>
      <c r="C327" s="1">
        <v>52.84</v>
      </c>
    </row>
    <row r="328" spans="1:3">
      <c r="A328" s="2">
        <v>44614</v>
      </c>
      <c r="B328" s="1">
        <v>39.51</v>
      </c>
      <c r="C328" s="1">
        <v>54.45</v>
      </c>
    </row>
    <row r="329" spans="1:3">
      <c r="A329" s="2">
        <v>44615</v>
      </c>
      <c r="B329" s="1">
        <v>39.14</v>
      </c>
      <c r="C329" s="1">
        <v>54.42</v>
      </c>
    </row>
    <row r="330" spans="1:3">
      <c r="A330" s="2">
        <v>44616</v>
      </c>
      <c r="B330" s="1">
        <v>36.49</v>
      </c>
      <c r="C330" s="1">
        <v>50.91</v>
      </c>
    </row>
    <row r="331" spans="1:3">
      <c r="A331" s="2">
        <v>44617</v>
      </c>
      <c r="B331" s="1">
        <v>39.26</v>
      </c>
      <c r="C331" s="1">
        <v>53.97</v>
      </c>
    </row>
    <row r="332" spans="1:3">
      <c r="A332" s="2">
        <v>44620</v>
      </c>
      <c r="B332" s="1">
        <v>39.28</v>
      </c>
      <c r="C332" s="1">
        <v>54.35</v>
      </c>
    </row>
    <row r="333" spans="1:3">
      <c r="A333" s="2">
        <v>44621</v>
      </c>
      <c r="B333" s="1">
        <v>41.21</v>
      </c>
      <c r="C333" s="1">
        <v>56.12</v>
      </c>
    </row>
    <row r="334" spans="1:3">
      <c r="A334" s="2">
        <v>44622</v>
      </c>
      <c r="B334" s="1">
        <v>39.01</v>
      </c>
      <c r="C334" s="1">
        <v>54.26</v>
      </c>
    </row>
    <row r="335" spans="1:3">
      <c r="A335" s="2">
        <v>44623</v>
      </c>
      <c r="B335" s="1">
        <v>37.8</v>
      </c>
      <c r="C335" s="1">
        <v>53.08</v>
      </c>
    </row>
    <row r="336" spans="1:3">
      <c r="A336" s="2">
        <v>44624</v>
      </c>
      <c r="B336" s="1">
        <v>38.18</v>
      </c>
      <c r="C336" s="1">
        <v>52.97</v>
      </c>
    </row>
    <row r="337" spans="1:3">
      <c r="A337" s="2">
        <v>44627</v>
      </c>
      <c r="B337" s="1">
        <v>39.76</v>
      </c>
      <c r="C337" s="1">
        <v>54.63</v>
      </c>
    </row>
    <row r="338" spans="1:3">
      <c r="A338" s="2">
        <v>44628</v>
      </c>
      <c r="B338" s="1">
        <v>39.94</v>
      </c>
      <c r="C338" s="1">
        <v>54.62</v>
      </c>
    </row>
    <row r="339" spans="1:3">
      <c r="A339" s="2">
        <v>44629</v>
      </c>
      <c r="B339" s="1">
        <v>38.87</v>
      </c>
      <c r="C339" s="1">
        <v>53.61</v>
      </c>
    </row>
    <row r="340" spans="1:3">
      <c r="A340" s="2">
        <v>44630</v>
      </c>
      <c r="B340" s="1">
        <v>40.58</v>
      </c>
      <c r="C340" s="1">
        <v>55.74</v>
      </c>
    </row>
    <row r="341" spans="1:3">
      <c r="A341" s="2">
        <v>44631</v>
      </c>
      <c r="B341" s="1">
        <v>40.24</v>
      </c>
      <c r="C341" s="1">
        <v>55.3</v>
      </c>
    </row>
    <row r="342" spans="1:3">
      <c r="A342" s="2">
        <v>44634</v>
      </c>
      <c r="B342" s="1">
        <v>41.06</v>
      </c>
      <c r="C342" s="1">
        <v>55.97</v>
      </c>
    </row>
    <row r="343" spans="1:3">
      <c r="A343" s="2">
        <v>44635</v>
      </c>
      <c r="B343" s="1">
        <v>40.27</v>
      </c>
      <c r="C343" s="1">
        <v>54.59</v>
      </c>
    </row>
    <row r="344" spans="1:3">
      <c r="A344" s="2">
        <v>44636</v>
      </c>
      <c r="B344" s="1">
        <v>42.33</v>
      </c>
      <c r="C344" s="1">
        <v>56.71</v>
      </c>
    </row>
    <row r="345" spans="1:3">
      <c r="A345" s="2">
        <v>44637</v>
      </c>
      <c r="B345" s="1">
        <v>42.62</v>
      </c>
      <c r="C345" s="1">
        <v>57.21</v>
      </c>
    </row>
    <row r="346" spans="1:3">
      <c r="A346" s="2">
        <v>44638</v>
      </c>
      <c r="B346" s="1">
        <v>41.19</v>
      </c>
      <c r="C346" s="1">
        <v>55.93</v>
      </c>
    </row>
    <row r="347" spans="1:3">
      <c r="A347" s="2">
        <v>44641</v>
      </c>
      <c r="B347" s="1">
        <v>39.06</v>
      </c>
      <c r="C347" s="1">
        <v>53.84</v>
      </c>
    </row>
    <row r="348" spans="1:3">
      <c r="A348" s="2">
        <v>44642</v>
      </c>
      <c r="B348" s="1">
        <v>39.6</v>
      </c>
      <c r="C348" s="1">
        <v>54.64</v>
      </c>
    </row>
    <row r="349" spans="1:3">
      <c r="A349" s="2">
        <v>44643</v>
      </c>
      <c r="B349" s="1">
        <v>39.07</v>
      </c>
      <c r="C349" s="1">
        <v>54.08</v>
      </c>
    </row>
    <row r="350" spans="1:3">
      <c r="A350" s="2">
        <v>44644</v>
      </c>
      <c r="B350" s="1">
        <v>39.97</v>
      </c>
      <c r="C350" s="1">
        <v>54.57</v>
      </c>
    </row>
    <row r="351" spans="1:3">
      <c r="A351" s="2">
        <v>44645</v>
      </c>
      <c r="B351" s="1">
        <v>40.09</v>
      </c>
      <c r="C351" s="1">
        <v>54.71</v>
      </c>
    </row>
    <row r="352" spans="1:3">
      <c r="A352" s="2">
        <v>44648</v>
      </c>
      <c r="B352" s="1">
        <v>39.55</v>
      </c>
      <c r="C352" s="1">
        <v>54.67</v>
      </c>
    </row>
    <row r="353" spans="1:3">
      <c r="A353" s="2">
        <v>44649</v>
      </c>
      <c r="B353" s="1">
        <v>39.86</v>
      </c>
      <c r="C353" s="1">
        <v>55.08</v>
      </c>
    </row>
    <row r="354" spans="1:3">
      <c r="A354" s="2">
        <v>44650</v>
      </c>
      <c r="B354" s="1">
        <v>41.28</v>
      </c>
      <c r="C354" s="1">
        <v>56.33</v>
      </c>
    </row>
    <row r="355" spans="1:3">
      <c r="A355" s="2">
        <v>44651</v>
      </c>
      <c r="B355" s="1">
        <v>39.9</v>
      </c>
      <c r="C355" s="1">
        <v>55.29</v>
      </c>
    </row>
    <row r="356" spans="1:3">
      <c r="A356" s="2">
        <v>44652</v>
      </c>
      <c r="B356" s="1">
        <v>39.8</v>
      </c>
      <c r="C356" s="1">
        <v>54.78</v>
      </c>
    </row>
    <row r="357" spans="1:3">
      <c r="A357" s="2">
        <v>44657</v>
      </c>
      <c r="B357" s="1">
        <v>37.98</v>
      </c>
      <c r="C357" s="1">
        <v>52.93</v>
      </c>
    </row>
    <row r="358" spans="1:3">
      <c r="A358" s="2">
        <v>44658</v>
      </c>
      <c r="B358" s="1">
        <v>37.16</v>
      </c>
      <c r="C358" s="1">
        <v>52.09</v>
      </c>
    </row>
    <row r="359" spans="1:3">
      <c r="A359" s="2">
        <v>44659</v>
      </c>
      <c r="B359" s="1">
        <v>38.29</v>
      </c>
      <c r="C359" s="1">
        <v>53.44</v>
      </c>
    </row>
    <row r="360" spans="1:3">
      <c r="A360" s="2">
        <v>44662</v>
      </c>
      <c r="B360" s="1">
        <v>38.96</v>
      </c>
      <c r="C360" s="1">
        <v>53.73</v>
      </c>
    </row>
    <row r="361" spans="1:3">
      <c r="A361" s="2">
        <v>44663</v>
      </c>
      <c r="B361" s="1">
        <v>38.72</v>
      </c>
      <c r="C361" s="1">
        <v>53.99</v>
      </c>
    </row>
    <row r="362" spans="1:3">
      <c r="A362" s="2">
        <v>44664</v>
      </c>
      <c r="B362" s="1">
        <v>38.88</v>
      </c>
      <c r="C362" s="1">
        <v>54.4</v>
      </c>
    </row>
    <row r="363" spans="1:3">
      <c r="A363" s="2">
        <v>44665</v>
      </c>
      <c r="B363" s="1">
        <v>41.22</v>
      </c>
      <c r="C363" s="1">
        <v>56.42</v>
      </c>
    </row>
    <row r="364" spans="1:3">
      <c r="A364" s="2">
        <v>44666</v>
      </c>
      <c r="B364" s="1">
        <v>40.33</v>
      </c>
      <c r="C364" s="1">
        <v>55.16</v>
      </c>
    </row>
    <row r="365" spans="1:3">
      <c r="A365" s="2">
        <v>44669</v>
      </c>
      <c r="B365" s="1">
        <v>39.89</v>
      </c>
      <c r="C365" s="1">
        <v>55.14</v>
      </c>
    </row>
    <row r="366" spans="1:3">
      <c r="A366" s="2">
        <v>44670</v>
      </c>
      <c r="B366" s="1">
        <v>39.62</v>
      </c>
      <c r="C366" s="1">
        <v>54.84</v>
      </c>
    </row>
    <row r="367" spans="1:3">
      <c r="A367" s="2">
        <v>44671</v>
      </c>
      <c r="B367" s="1">
        <v>38.45</v>
      </c>
      <c r="C367" s="1">
        <v>53.53</v>
      </c>
    </row>
    <row r="368" spans="1:3">
      <c r="A368" s="2">
        <v>44672</v>
      </c>
      <c r="B368" s="1">
        <v>37.74</v>
      </c>
      <c r="C368" s="1">
        <v>51.83</v>
      </c>
    </row>
    <row r="369" spans="1:3">
      <c r="A369" s="2">
        <v>44673</v>
      </c>
      <c r="B369" s="1">
        <v>37.55</v>
      </c>
      <c r="C369" s="1">
        <v>51.94</v>
      </c>
    </row>
    <row r="370" spans="1:3">
      <c r="A370" s="2">
        <v>44676</v>
      </c>
      <c r="B370" s="1">
        <v>38.01</v>
      </c>
      <c r="C370" s="1">
        <v>51.62</v>
      </c>
    </row>
    <row r="371" spans="1:3">
      <c r="A371" s="2">
        <v>44677</v>
      </c>
      <c r="B371" s="1">
        <v>38.61</v>
      </c>
      <c r="C371" s="1">
        <v>53.17</v>
      </c>
    </row>
    <row r="372" spans="1:3">
      <c r="A372" s="2">
        <v>44678</v>
      </c>
      <c r="B372" s="1">
        <v>40.49</v>
      </c>
      <c r="C372" s="1">
        <v>55.04</v>
      </c>
    </row>
    <row r="373" spans="1:3">
      <c r="A373" s="2">
        <v>44679</v>
      </c>
      <c r="B373" s="1">
        <v>42.4</v>
      </c>
      <c r="C373" s="1">
        <v>57.16</v>
      </c>
    </row>
    <row r="374" spans="1:3">
      <c r="A374" s="2">
        <v>44680</v>
      </c>
      <c r="B374" s="1">
        <v>42.07</v>
      </c>
      <c r="C374" s="1">
        <v>56.49</v>
      </c>
    </row>
    <row r="375" spans="1:3">
      <c r="A375" s="2">
        <v>44686</v>
      </c>
      <c r="B375" s="1">
        <v>41.35</v>
      </c>
      <c r="C375" s="1">
        <v>56.11</v>
      </c>
    </row>
    <row r="376" spans="1:3">
      <c r="A376" s="2">
        <v>44687</v>
      </c>
      <c r="B376" s="1">
        <v>39.98</v>
      </c>
      <c r="C376" s="1">
        <v>55.13</v>
      </c>
    </row>
    <row r="377" spans="1:3">
      <c r="A377" s="2">
        <v>44690</v>
      </c>
      <c r="B377" s="1">
        <v>39.93</v>
      </c>
      <c r="C377" s="1">
        <v>54.71</v>
      </c>
    </row>
    <row r="378" spans="1:3">
      <c r="A378" s="2">
        <v>44691</v>
      </c>
      <c r="B378" s="1">
        <v>39.93</v>
      </c>
      <c r="C378" s="1">
        <v>55.23</v>
      </c>
    </row>
    <row r="379" spans="1:3">
      <c r="A379" s="2">
        <v>44692</v>
      </c>
      <c r="B379" s="1">
        <v>40.94</v>
      </c>
      <c r="C379" s="1">
        <v>55.6</v>
      </c>
    </row>
    <row r="380" spans="1:3">
      <c r="A380" s="2">
        <v>44693</v>
      </c>
      <c r="B380" s="1">
        <v>40.54</v>
      </c>
      <c r="C380" s="1">
        <v>55.42</v>
      </c>
    </row>
    <row r="381" spans="1:3">
      <c r="A381" s="2">
        <v>44694</v>
      </c>
      <c r="B381" s="1">
        <v>40.26</v>
      </c>
      <c r="C381" s="1">
        <v>55.04</v>
      </c>
    </row>
    <row r="382" spans="1:3">
      <c r="A382" s="2">
        <v>44697</v>
      </c>
      <c r="B382" s="1">
        <v>39.62</v>
      </c>
      <c r="C382" s="1">
        <v>54.38</v>
      </c>
    </row>
    <row r="383" spans="1:3">
      <c r="A383" s="2">
        <v>44698</v>
      </c>
      <c r="B383" s="1">
        <v>41.53</v>
      </c>
      <c r="C383" s="1">
        <v>56.31</v>
      </c>
    </row>
    <row r="384" spans="1:3">
      <c r="A384" s="2">
        <v>44699</v>
      </c>
      <c r="B384" s="1">
        <v>39.51</v>
      </c>
      <c r="C384" s="1">
        <v>53.83</v>
      </c>
    </row>
    <row r="385" spans="1:3">
      <c r="A385" s="2">
        <v>44700</v>
      </c>
      <c r="B385" s="1">
        <v>40.19</v>
      </c>
      <c r="C385" s="1">
        <v>55.23</v>
      </c>
    </row>
    <row r="386" spans="1:3">
      <c r="A386" s="2">
        <v>44701</v>
      </c>
      <c r="B386" s="1">
        <v>42.11</v>
      </c>
      <c r="C386" s="1">
        <v>56.7</v>
      </c>
    </row>
    <row r="387" spans="1:3">
      <c r="A387" s="2">
        <v>44704</v>
      </c>
      <c r="B387" s="1">
        <v>40.33</v>
      </c>
      <c r="C387" s="1">
        <v>54.76</v>
      </c>
    </row>
    <row r="388" spans="1:3">
      <c r="A388" s="2">
        <v>44705</v>
      </c>
      <c r="B388" s="1">
        <v>37.98</v>
      </c>
      <c r="C388" s="1">
        <v>52.28</v>
      </c>
    </row>
    <row r="389" spans="1:3">
      <c r="A389" s="2">
        <v>44706</v>
      </c>
      <c r="B389" s="1">
        <v>39.6</v>
      </c>
      <c r="C389" s="1">
        <v>54.23</v>
      </c>
    </row>
    <row r="390" spans="1:3">
      <c r="A390" s="2">
        <v>44707</v>
      </c>
      <c r="B390" s="1">
        <v>38.86</v>
      </c>
      <c r="C390" s="1">
        <v>53.84</v>
      </c>
    </row>
    <row r="391" spans="1:3">
      <c r="A391" s="2">
        <v>44708</v>
      </c>
      <c r="B391" s="1">
        <v>39.33</v>
      </c>
      <c r="C391" s="1">
        <v>53.76</v>
      </c>
    </row>
    <row r="392" spans="1:3">
      <c r="A392" s="2">
        <v>44711</v>
      </c>
      <c r="B392" s="1">
        <v>38.72</v>
      </c>
      <c r="C392" s="1">
        <v>53.34</v>
      </c>
    </row>
    <row r="393" spans="1:3">
      <c r="A393" s="2">
        <v>44712</v>
      </c>
      <c r="B393" s="1">
        <v>39.03</v>
      </c>
      <c r="C393" s="1">
        <v>53.82</v>
      </c>
    </row>
    <row r="394" spans="1:3">
      <c r="A394" s="2">
        <v>44713</v>
      </c>
      <c r="B394" s="1">
        <v>37.29</v>
      </c>
      <c r="C394" s="1">
        <v>51.4</v>
      </c>
    </row>
    <row r="395" spans="1:3">
      <c r="A395" s="2">
        <v>44714</v>
      </c>
      <c r="B395" s="1">
        <v>37.33</v>
      </c>
      <c r="C395" s="1">
        <v>51.48</v>
      </c>
    </row>
    <row r="396" spans="1:3">
      <c r="A396" s="2">
        <v>44718</v>
      </c>
      <c r="B396" s="1">
        <v>39.99</v>
      </c>
      <c r="C396" s="1">
        <v>53.89</v>
      </c>
    </row>
    <row r="397" spans="1:3">
      <c r="A397" s="2">
        <v>44719</v>
      </c>
      <c r="B397" s="1">
        <v>39.52</v>
      </c>
      <c r="C397" s="1">
        <v>53.57</v>
      </c>
    </row>
    <row r="398" spans="1:3">
      <c r="A398" s="2">
        <v>44720</v>
      </c>
      <c r="B398" s="1">
        <v>41.49</v>
      </c>
      <c r="C398" s="1">
        <v>55.61</v>
      </c>
    </row>
    <row r="399" spans="1:3">
      <c r="A399" s="2">
        <v>44721</v>
      </c>
      <c r="B399" s="1">
        <v>40.85</v>
      </c>
      <c r="C399" s="1">
        <v>55.93</v>
      </c>
    </row>
    <row r="400" spans="1:3">
      <c r="A400" s="2">
        <v>44722</v>
      </c>
      <c r="B400" s="1">
        <v>41.38</v>
      </c>
      <c r="C400" s="1">
        <v>56.78</v>
      </c>
    </row>
    <row r="401" spans="1:3">
      <c r="A401" s="2">
        <v>44725</v>
      </c>
      <c r="B401" s="1">
        <v>41.9</v>
      </c>
      <c r="C401" s="1">
        <v>56.72</v>
      </c>
    </row>
    <row r="402" spans="1:3">
      <c r="A402" s="2">
        <v>44726</v>
      </c>
      <c r="B402" s="1">
        <v>40.98</v>
      </c>
      <c r="C402" s="1">
        <v>56.09</v>
      </c>
    </row>
    <row r="403" spans="1:3">
      <c r="A403" s="2">
        <v>44727</v>
      </c>
      <c r="B403" s="1">
        <v>43.41</v>
      </c>
      <c r="C403" s="1">
        <v>58.08</v>
      </c>
    </row>
    <row r="404" spans="1:3">
      <c r="A404" s="2">
        <v>44728</v>
      </c>
      <c r="B404" s="1">
        <v>40.85</v>
      </c>
      <c r="C404" s="1">
        <v>55.76</v>
      </c>
    </row>
    <row r="405" spans="1:3">
      <c r="A405" s="2">
        <v>44729</v>
      </c>
      <c r="B405" s="1">
        <v>42.19</v>
      </c>
      <c r="C405" s="1">
        <v>57.01</v>
      </c>
    </row>
    <row r="406" spans="1:3">
      <c r="A406" s="2">
        <v>44732</v>
      </c>
      <c r="B406" s="1">
        <v>41.68</v>
      </c>
      <c r="C406" s="1">
        <v>56.71</v>
      </c>
    </row>
    <row r="407" spans="1:3">
      <c r="A407" s="2">
        <v>44733</v>
      </c>
      <c r="B407" s="1">
        <v>39.31</v>
      </c>
      <c r="C407" s="1">
        <v>54.06</v>
      </c>
    </row>
    <row r="408" spans="1:3">
      <c r="A408" s="2">
        <v>44734</v>
      </c>
      <c r="B408" s="1">
        <v>39.82</v>
      </c>
      <c r="C408" s="1">
        <v>54.86</v>
      </c>
    </row>
    <row r="409" spans="1:3">
      <c r="A409" s="2">
        <v>44735</v>
      </c>
      <c r="B409" s="1">
        <v>40.72</v>
      </c>
      <c r="C409" s="1">
        <v>55.37</v>
      </c>
    </row>
    <row r="410" spans="1:3">
      <c r="A410" s="2">
        <v>44736</v>
      </c>
      <c r="B410" s="1">
        <v>40.48</v>
      </c>
      <c r="C410" s="1">
        <v>54.94</v>
      </c>
    </row>
    <row r="411" spans="1:3">
      <c r="A411" s="2">
        <v>44739</v>
      </c>
      <c r="B411" s="1">
        <v>40.8</v>
      </c>
      <c r="C411" s="1">
        <v>55.42</v>
      </c>
    </row>
    <row r="412" spans="1:3">
      <c r="A412" s="2">
        <v>44740</v>
      </c>
      <c r="B412" s="1">
        <v>39.58</v>
      </c>
      <c r="C412" s="1">
        <v>54.2</v>
      </c>
    </row>
    <row r="413" spans="1:3">
      <c r="A413" s="2">
        <v>44741</v>
      </c>
      <c r="B413" s="1">
        <v>39.92</v>
      </c>
      <c r="C413" s="1">
        <v>54.47</v>
      </c>
    </row>
    <row r="414" spans="1:3">
      <c r="A414" s="2">
        <v>44742</v>
      </c>
      <c r="B414" s="1">
        <v>41.17</v>
      </c>
      <c r="C414" s="1">
        <v>55.36</v>
      </c>
    </row>
    <row r="415" spans="1:3">
      <c r="A415" s="2">
        <v>44743</v>
      </c>
      <c r="B415" s="1">
        <v>41.84</v>
      </c>
      <c r="C415" s="1">
        <v>55.87</v>
      </c>
    </row>
    <row r="416" spans="1:3">
      <c r="A416" s="2">
        <v>44746</v>
      </c>
      <c r="B416" s="1">
        <v>41.94</v>
      </c>
      <c r="C416" s="1">
        <v>56.45</v>
      </c>
    </row>
    <row r="417" spans="1:3">
      <c r="A417" s="2">
        <v>44747</v>
      </c>
      <c r="B417" s="1">
        <v>41.8</v>
      </c>
      <c r="C417" s="1">
        <v>56.66</v>
      </c>
    </row>
    <row r="418" spans="1:3">
      <c r="A418" s="2">
        <v>44748</v>
      </c>
      <c r="B418" s="1">
        <v>42.55</v>
      </c>
      <c r="C418" s="1">
        <v>57.4</v>
      </c>
    </row>
    <row r="419" spans="1:3">
      <c r="A419" s="2">
        <v>44749</v>
      </c>
      <c r="B419" s="1">
        <v>43.65</v>
      </c>
      <c r="C419" s="1">
        <v>58.48</v>
      </c>
    </row>
    <row r="420" spans="1:3">
      <c r="A420" s="2">
        <v>44750</v>
      </c>
      <c r="B420" s="1">
        <v>42.52</v>
      </c>
      <c r="C420" s="1">
        <v>57.24</v>
      </c>
    </row>
    <row r="421" spans="1:3">
      <c r="A421" s="2">
        <v>44753</v>
      </c>
      <c r="B421" s="1">
        <v>42.15</v>
      </c>
      <c r="C421" s="1">
        <v>56.68</v>
      </c>
    </row>
    <row r="422" spans="1:3">
      <c r="A422" s="2">
        <v>44754</v>
      </c>
      <c r="B422" s="1">
        <v>42.25</v>
      </c>
      <c r="C422" s="1">
        <v>56.82</v>
      </c>
    </row>
    <row r="423" spans="1:3">
      <c r="A423" s="2">
        <v>44755</v>
      </c>
      <c r="B423" s="1">
        <v>42.98</v>
      </c>
      <c r="C423" s="1">
        <v>57.61</v>
      </c>
    </row>
    <row r="424" spans="1:3">
      <c r="A424" s="2">
        <v>44756</v>
      </c>
      <c r="B424" s="1">
        <v>41.86</v>
      </c>
      <c r="C424" s="1">
        <v>56.57</v>
      </c>
    </row>
    <row r="425" spans="1:3">
      <c r="A425" s="2">
        <v>44757</v>
      </c>
      <c r="B425" s="1">
        <v>40.04</v>
      </c>
      <c r="C425" s="1">
        <v>54.51</v>
      </c>
    </row>
    <row r="426" spans="1:3">
      <c r="A426" s="2">
        <v>44760</v>
      </c>
      <c r="B426" s="1">
        <v>39.28</v>
      </c>
      <c r="C426" s="1">
        <v>53.9</v>
      </c>
    </row>
    <row r="427" spans="1:3">
      <c r="A427" s="2">
        <v>44761</v>
      </c>
      <c r="B427" s="1">
        <v>37.57</v>
      </c>
      <c r="C427" s="1">
        <v>52.26</v>
      </c>
    </row>
    <row r="428" spans="1:3">
      <c r="A428" s="2">
        <v>44762</v>
      </c>
      <c r="B428" s="1">
        <v>35.8</v>
      </c>
      <c r="C428" s="1">
        <v>50.9</v>
      </c>
    </row>
    <row r="429" spans="1:3">
      <c r="A429" s="2">
        <v>44763</v>
      </c>
      <c r="B429" s="1">
        <v>38.12</v>
      </c>
      <c r="C429" s="1">
        <v>53.12</v>
      </c>
    </row>
    <row r="430" spans="1:3">
      <c r="A430" s="2">
        <v>44764</v>
      </c>
      <c r="B430" s="1">
        <v>37.65</v>
      </c>
      <c r="C430" s="1">
        <v>52.36</v>
      </c>
    </row>
    <row r="431" spans="1:3">
      <c r="A431" s="2">
        <v>44767</v>
      </c>
      <c r="B431" s="1">
        <v>37.44</v>
      </c>
      <c r="C431" s="1">
        <v>52.77</v>
      </c>
    </row>
    <row r="432" spans="1:3">
      <c r="A432" s="2">
        <v>44768</v>
      </c>
      <c r="B432" s="1">
        <v>38.91</v>
      </c>
      <c r="C432" s="1">
        <v>53.55</v>
      </c>
    </row>
    <row r="433" spans="1:3">
      <c r="A433" s="2">
        <v>44769</v>
      </c>
      <c r="B433" s="1">
        <v>38.19</v>
      </c>
      <c r="C433" s="1">
        <v>52.85</v>
      </c>
    </row>
    <row r="434" spans="1:3">
      <c r="A434" s="2">
        <v>44770</v>
      </c>
      <c r="B434" s="1">
        <v>37.07</v>
      </c>
      <c r="C434" s="1">
        <v>51.93</v>
      </c>
    </row>
    <row r="435" spans="1:3">
      <c r="A435" s="2">
        <v>44771</v>
      </c>
      <c r="B435" s="1">
        <v>37.03</v>
      </c>
      <c r="C435" s="1">
        <v>51.6</v>
      </c>
    </row>
    <row r="436" spans="1:3">
      <c r="A436" s="2">
        <v>44774</v>
      </c>
      <c r="B436" s="1">
        <v>37.75</v>
      </c>
      <c r="C436" s="1">
        <v>52.8</v>
      </c>
    </row>
    <row r="437" spans="1:3">
      <c r="A437" s="2">
        <v>44775</v>
      </c>
      <c r="B437" s="1">
        <v>34.72</v>
      </c>
      <c r="C437" s="1">
        <v>48.95</v>
      </c>
    </row>
    <row r="438" spans="1:3">
      <c r="A438" s="2">
        <v>44776</v>
      </c>
      <c r="B438" s="1">
        <v>37.01</v>
      </c>
      <c r="C438" s="1">
        <v>51.77</v>
      </c>
    </row>
    <row r="439" spans="1:3">
      <c r="A439" s="2">
        <v>44777</v>
      </c>
      <c r="B439" s="1">
        <v>37.72</v>
      </c>
      <c r="C439" s="1">
        <v>52.34</v>
      </c>
    </row>
    <row r="440" spans="1:3">
      <c r="A440" s="2">
        <v>44778</v>
      </c>
      <c r="B440" s="1">
        <v>38.07</v>
      </c>
      <c r="C440" s="1">
        <v>52.77</v>
      </c>
    </row>
    <row r="441" spans="1:3">
      <c r="A441" s="2">
        <v>44781</v>
      </c>
      <c r="B441" s="1">
        <v>38.05</v>
      </c>
      <c r="C441" s="1">
        <v>52.6</v>
      </c>
    </row>
    <row r="442" spans="1:3">
      <c r="A442" s="2">
        <v>44782</v>
      </c>
      <c r="B442" s="1">
        <v>38.01</v>
      </c>
      <c r="C442" s="1">
        <v>52.83</v>
      </c>
    </row>
    <row r="443" spans="1:3">
      <c r="A443" s="2">
        <v>44783</v>
      </c>
      <c r="B443" s="1">
        <v>38.18</v>
      </c>
      <c r="C443" s="1">
        <v>53.13</v>
      </c>
    </row>
    <row r="444" spans="1:3">
      <c r="A444" s="2">
        <v>44784</v>
      </c>
      <c r="B444" s="1">
        <v>36.92</v>
      </c>
      <c r="C444" s="1">
        <v>51.29</v>
      </c>
    </row>
    <row r="445" spans="1:3">
      <c r="A445" s="2">
        <v>44785</v>
      </c>
      <c r="B445" s="1">
        <v>35.38</v>
      </c>
      <c r="C445" s="1">
        <v>49.96</v>
      </c>
    </row>
    <row r="446" spans="1:3">
      <c r="A446" s="2">
        <v>44788</v>
      </c>
      <c r="B446" s="1">
        <v>38.08</v>
      </c>
      <c r="C446" s="1">
        <v>52.72</v>
      </c>
    </row>
    <row r="447" spans="1:3">
      <c r="A447" s="2">
        <v>44789</v>
      </c>
      <c r="B447" s="1">
        <v>36.71</v>
      </c>
      <c r="C447" s="1">
        <v>51.86</v>
      </c>
    </row>
    <row r="448" spans="1:3">
      <c r="A448" s="2">
        <v>44790</v>
      </c>
      <c r="B448" s="1">
        <v>37.89</v>
      </c>
      <c r="C448" s="1">
        <v>52.51</v>
      </c>
    </row>
    <row r="449" spans="1:3">
      <c r="A449" s="2">
        <v>44791</v>
      </c>
      <c r="B449" s="1">
        <v>36.25</v>
      </c>
      <c r="C449" s="1">
        <v>50.96</v>
      </c>
    </row>
    <row r="450" spans="1:3">
      <c r="A450" s="2">
        <v>44792</v>
      </c>
      <c r="B450" s="1">
        <v>36.87</v>
      </c>
      <c r="C450" s="1">
        <v>51.32</v>
      </c>
    </row>
    <row r="451" spans="1:3">
      <c r="A451" s="2">
        <v>44795</v>
      </c>
      <c r="B451" s="1">
        <v>38.5</v>
      </c>
      <c r="C451" s="1">
        <v>52.67</v>
      </c>
    </row>
    <row r="452" spans="1:3">
      <c r="A452" s="2">
        <v>44796</v>
      </c>
      <c r="B452" s="1">
        <v>37.96</v>
      </c>
      <c r="C452" s="1">
        <v>52.36</v>
      </c>
    </row>
    <row r="453" spans="1:3">
      <c r="A453" s="2">
        <v>44797</v>
      </c>
      <c r="B453" s="1">
        <v>35.54</v>
      </c>
      <c r="C453" s="1">
        <v>49.96</v>
      </c>
    </row>
    <row r="454" spans="1:3">
      <c r="A454" s="2">
        <v>44798</v>
      </c>
      <c r="B454" s="1">
        <v>37.43</v>
      </c>
      <c r="C454" s="1">
        <v>51.38</v>
      </c>
    </row>
    <row r="455" spans="1:3">
      <c r="A455" s="2">
        <v>44799</v>
      </c>
      <c r="B455" s="1">
        <v>37.96</v>
      </c>
      <c r="C455" s="1">
        <v>52.16</v>
      </c>
    </row>
    <row r="456" spans="1:3">
      <c r="A456" s="2">
        <v>44802</v>
      </c>
      <c r="B456" s="1">
        <v>36.41</v>
      </c>
      <c r="C456" s="1">
        <v>50.76</v>
      </c>
    </row>
    <row r="457" spans="1:3">
      <c r="A457" s="2">
        <v>44803</v>
      </c>
      <c r="B457" s="1">
        <v>36.68</v>
      </c>
      <c r="C457" s="1">
        <v>50.99</v>
      </c>
    </row>
    <row r="458" spans="1:3">
      <c r="A458" s="2">
        <v>44804</v>
      </c>
      <c r="B458" s="1">
        <v>39.01</v>
      </c>
      <c r="C458" s="1">
        <v>52.73</v>
      </c>
    </row>
    <row r="459" spans="1:3">
      <c r="A459" s="2">
        <v>44805</v>
      </c>
      <c r="B459" s="1">
        <v>36.91</v>
      </c>
      <c r="C459" s="1">
        <v>51.4</v>
      </c>
    </row>
    <row r="460" spans="1:3">
      <c r="A460" s="2">
        <v>44806</v>
      </c>
      <c r="B460" s="1">
        <v>35.75</v>
      </c>
      <c r="C460" s="1">
        <v>50.3</v>
      </c>
    </row>
    <row r="461" spans="1:3">
      <c r="A461" s="2">
        <v>44809</v>
      </c>
      <c r="B461" s="1">
        <v>36.85</v>
      </c>
      <c r="C461" s="1">
        <v>51.22</v>
      </c>
    </row>
    <row r="462" spans="1:3">
      <c r="A462" s="2">
        <v>44810</v>
      </c>
      <c r="B462" s="1">
        <v>38.61</v>
      </c>
      <c r="C462" s="1">
        <v>53.01</v>
      </c>
    </row>
    <row r="463" spans="1:3">
      <c r="A463" s="2">
        <v>44811</v>
      </c>
      <c r="B463" s="1">
        <v>37.11</v>
      </c>
      <c r="C463" s="1">
        <v>52.08</v>
      </c>
    </row>
    <row r="464" spans="1:3">
      <c r="A464" s="2">
        <v>44812</v>
      </c>
      <c r="B464" s="1">
        <v>35.91</v>
      </c>
      <c r="C464" s="1">
        <v>50.86</v>
      </c>
    </row>
    <row r="465" spans="1:3">
      <c r="A465" s="2">
        <v>44813</v>
      </c>
      <c r="B465" s="1">
        <v>39.37</v>
      </c>
      <c r="C465" s="1">
        <v>53.7</v>
      </c>
    </row>
    <row r="466" spans="1:3">
      <c r="A466" s="2">
        <v>44817</v>
      </c>
      <c r="B466" s="1">
        <v>38</v>
      </c>
      <c r="C466" s="1">
        <v>52.41</v>
      </c>
    </row>
    <row r="467" spans="1:3">
      <c r="A467" s="2">
        <v>44818</v>
      </c>
      <c r="B467" s="1">
        <v>36.43</v>
      </c>
      <c r="C467" s="1">
        <v>51.17</v>
      </c>
    </row>
    <row r="468" spans="1:3">
      <c r="A468" s="2">
        <v>44819</v>
      </c>
      <c r="B468" s="1">
        <v>37.36</v>
      </c>
      <c r="C468" s="1">
        <v>51.62</v>
      </c>
    </row>
    <row r="469" spans="1:3">
      <c r="A469" s="2">
        <v>44820</v>
      </c>
      <c r="B469" s="1">
        <v>37.74</v>
      </c>
      <c r="C469" s="1">
        <v>51.94</v>
      </c>
    </row>
    <row r="470" spans="1:3">
      <c r="A470" s="2">
        <v>44823</v>
      </c>
      <c r="B470" s="1">
        <v>36.88</v>
      </c>
      <c r="C470" s="1">
        <v>51.02</v>
      </c>
    </row>
    <row r="471" spans="1:3">
      <c r="A471" s="2">
        <v>44824</v>
      </c>
      <c r="B471" s="1">
        <v>39.6</v>
      </c>
      <c r="C471" s="1">
        <v>53.89</v>
      </c>
    </row>
    <row r="472" spans="1:3">
      <c r="A472" s="2">
        <v>44825</v>
      </c>
      <c r="B472" s="1">
        <v>38.31</v>
      </c>
      <c r="C472" s="1">
        <v>52.58</v>
      </c>
    </row>
    <row r="473" spans="1:3">
      <c r="A473" s="2">
        <v>44826</v>
      </c>
      <c r="B473" s="1">
        <v>39.2</v>
      </c>
      <c r="C473" s="1">
        <v>53.96</v>
      </c>
    </row>
    <row r="474" spans="1:3">
      <c r="A474" s="2">
        <v>44827</v>
      </c>
      <c r="B474" s="1">
        <v>36.93</v>
      </c>
      <c r="C474" s="1">
        <v>51.36</v>
      </c>
    </row>
    <row r="475" spans="1:3">
      <c r="A475" s="2">
        <v>44830</v>
      </c>
      <c r="B475" s="1">
        <v>38.82</v>
      </c>
      <c r="C475" s="1">
        <v>53.01</v>
      </c>
    </row>
    <row r="476" spans="1:3">
      <c r="A476" s="2">
        <v>44831</v>
      </c>
      <c r="B476" s="1">
        <v>38.55</v>
      </c>
      <c r="C476" s="1">
        <v>53.21</v>
      </c>
    </row>
    <row r="477" spans="1:3">
      <c r="A477" s="2">
        <v>44832</v>
      </c>
      <c r="B477" s="1">
        <v>37.27</v>
      </c>
      <c r="C477" s="1">
        <v>52.01</v>
      </c>
    </row>
    <row r="478" spans="1:3">
      <c r="A478" s="2">
        <v>44833</v>
      </c>
      <c r="B478" s="1">
        <v>37.76</v>
      </c>
      <c r="C478" s="1">
        <v>52.42</v>
      </c>
    </row>
    <row r="479" spans="1:3">
      <c r="A479" s="2">
        <v>44834</v>
      </c>
      <c r="B479" s="1">
        <v>39.16</v>
      </c>
      <c r="C479" s="1">
        <v>53.81</v>
      </c>
    </row>
    <row r="480" spans="1:3">
      <c r="A480" s="2">
        <v>44844</v>
      </c>
      <c r="B480" s="1">
        <v>40.24</v>
      </c>
      <c r="C480" s="1">
        <v>55.03</v>
      </c>
    </row>
    <row r="481" spans="1:3">
      <c r="A481" s="2">
        <v>44845</v>
      </c>
      <c r="B481" s="1">
        <v>40.28</v>
      </c>
      <c r="C481" s="1">
        <v>55.72</v>
      </c>
    </row>
    <row r="482" spans="1:3">
      <c r="A482" s="2">
        <v>44846</v>
      </c>
      <c r="B482" s="1">
        <v>40.09</v>
      </c>
      <c r="C482" s="1">
        <v>55.2</v>
      </c>
    </row>
    <row r="483" spans="1:3">
      <c r="A483" s="2">
        <v>44847</v>
      </c>
      <c r="B483" s="1">
        <v>37.88</v>
      </c>
      <c r="C483" s="1">
        <v>53.38</v>
      </c>
    </row>
    <row r="484" spans="1:3">
      <c r="A484" s="2">
        <v>44848</v>
      </c>
      <c r="B484" s="1">
        <v>39.75</v>
      </c>
      <c r="C484" s="1">
        <v>54.48</v>
      </c>
    </row>
    <row r="485" spans="1:3">
      <c r="A485" s="2">
        <v>44851</v>
      </c>
      <c r="B485" s="1">
        <v>37.68</v>
      </c>
      <c r="C485" s="1">
        <v>52.43</v>
      </c>
    </row>
    <row r="486" spans="1:3">
      <c r="A486" s="2">
        <v>44852</v>
      </c>
      <c r="B486" s="1">
        <v>35.77</v>
      </c>
      <c r="C486" s="1">
        <v>51.16</v>
      </c>
    </row>
    <row r="487" spans="1:3">
      <c r="A487" s="2">
        <v>44853</v>
      </c>
      <c r="B487" s="1">
        <v>37.83</v>
      </c>
      <c r="C487" s="1">
        <v>52.81</v>
      </c>
    </row>
    <row r="488" spans="1:3">
      <c r="A488" s="2">
        <v>44854</v>
      </c>
      <c r="B488" s="1">
        <v>37.06</v>
      </c>
      <c r="C488" s="1">
        <v>52</v>
      </c>
    </row>
    <row r="489" spans="1:3">
      <c r="A489" s="2">
        <v>44855</v>
      </c>
      <c r="B489" s="1">
        <v>36.68</v>
      </c>
      <c r="C489" s="1">
        <v>51.85</v>
      </c>
    </row>
    <row r="490" spans="1:3">
      <c r="A490" s="2">
        <v>44858</v>
      </c>
      <c r="B490" s="1">
        <v>38.04</v>
      </c>
      <c r="C490" s="1">
        <v>52.49</v>
      </c>
    </row>
    <row r="491" spans="1:3">
      <c r="A491" s="2">
        <v>44859</v>
      </c>
      <c r="B491" s="1">
        <v>37.09</v>
      </c>
      <c r="C491" s="1">
        <v>51.94</v>
      </c>
    </row>
    <row r="492" spans="1:3">
      <c r="A492" s="2">
        <v>44860</v>
      </c>
      <c r="B492" s="1">
        <v>36.26</v>
      </c>
      <c r="C492" s="1">
        <v>51.31</v>
      </c>
    </row>
    <row r="493" spans="1:3">
      <c r="A493" s="2">
        <v>44861</v>
      </c>
      <c r="B493" s="1">
        <v>38.45</v>
      </c>
      <c r="C493" s="1">
        <v>52.7</v>
      </c>
    </row>
    <row r="494" spans="1:3">
      <c r="A494" s="2">
        <v>44862</v>
      </c>
      <c r="B494" s="1">
        <v>36</v>
      </c>
      <c r="C494" s="1">
        <v>50.11</v>
      </c>
    </row>
    <row r="495" spans="1:3">
      <c r="A495" s="2">
        <v>44865</v>
      </c>
      <c r="B495" s="1">
        <v>37.53</v>
      </c>
      <c r="C495" s="1">
        <v>51.93</v>
      </c>
    </row>
    <row r="496" spans="1:3">
      <c r="A496" s="2">
        <v>44866</v>
      </c>
      <c r="B496" s="1">
        <v>39.6</v>
      </c>
      <c r="C496" s="1">
        <v>53.57</v>
      </c>
    </row>
    <row r="497" spans="1:3">
      <c r="A497" s="2">
        <v>44867</v>
      </c>
      <c r="B497" s="1">
        <v>38.23</v>
      </c>
      <c r="C497" s="1">
        <v>52.84</v>
      </c>
    </row>
    <row r="498" spans="1:3">
      <c r="A498" s="2">
        <v>44868</v>
      </c>
      <c r="B498" s="1">
        <v>37.8</v>
      </c>
      <c r="C498" s="1">
        <v>52.28</v>
      </c>
    </row>
    <row r="499" spans="1:3">
      <c r="A499" s="2">
        <v>44869</v>
      </c>
      <c r="B499" s="1">
        <v>39.02</v>
      </c>
      <c r="C499" s="1">
        <v>53.3</v>
      </c>
    </row>
    <row r="500" spans="1:3">
      <c r="A500" s="2">
        <v>44872</v>
      </c>
      <c r="B500" s="1">
        <v>37.32</v>
      </c>
      <c r="C500" s="1">
        <v>51.75</v>
      </c>
    </row>
    <row r="501" spans="1:3">
      <c r="A501" s="2">
        <v>44873</v>
      </c>
      <c r="B501" s="1">
        <v>36.84</v>
      </c>
      <c r="C501" s="1">
        <v>51.41</v>
      </c>
    </row>
    <row r="502" spans="1:3">
      <c r="A502" s="2">
        <v>44874</v>
      </c>
      <c r="B502" s="1">
        <v>35.87</v>
      </c>
      <c r="C502" s="1">
        <v>50.42</v>
      </c>
    </row>
    <row r="503" spans="1:3">
      <c r="A503" s="2">
        <v>44875</v>
      </c>
      <c r="B503" s="1">
        <v>34.88</v>
      </c>
      <c r="C503" s="1">
        <v>49.51</v>
      </c>
    </row>
    <row r="504" spans="1:3">
      <c r="A504" s="2">
        <v>44876</v>
      </c>
      <c r="B504" s="1">
        <v>38.2</v>
      </c>
      <c r="C504" s="1">
        <v>52.21</v>
      </c>
    </row>
    <row r="505" spans="1:3">
      <c r="A505" s="2">
        <v>44879</v>
      </c>
      <c r="B505" s="1">
        <v>38.66</v>
      </c>
      <c r="C505" s="1">
        <v>52.9</v>
      </c>
    </row>
    <row r="506" spans="1:3">
      <c r="A506" s="2">
        <v>44880</v>
      </c>
      <c r="B506" s="1">
        <v>37.35</v>
      </c>
      <c r="C506" s="1">
        <v>51.69</v>
      </c>
    </row>
    <row r="507" spans="1:3">
      <c r="A507" s="2">
        <v>44881</v>
      </c>
      <c r="B507" s="1">
        <v>36.02</v>
      </c>
      <c r="C507" s="1">
        <v>50.41</v>
      </c>
    </row>
    <row r="508" spans="1:3">
      <c r="A508" s="2">
        <v>44882</v>
      </c>
      <c r="B508" s="1">
        <v>37.08</v>
      </c>
      <c r="C508" s="1">
        <v>51.24</v>
      </c>
    </row>
    <row r="509" spans="1:3">
      <c r="A509" s="2">
        <v>44883</v>
      </c>
      <c r="B509" s="1">
        <v>35.78</v>
      </c>
      <c r="C509" s="1">
        <v>50.31</v>
      </c>
    </row>
    <row r="510" spans="1:3">
      <c r="A510" s="2">
        <v>44886</v>
      </c>
      <c r="B510" s="1">
        <v>35.61</v>
      </c>
      <c r="C510" s="1">
        <v>49.87</v>
      </c>
    </row>
    <row r="511" spans="1:3">
      <c r="A511" s="2">
        <v>44887</v>
      </c>
      <c r="B511" s="1">
        <v>35.24</v>
      </c>
      <c r="C511" s="1">
        <v>49.22</v>
      </c>
    </row>
    <row r="512" spans="1:3">
      <c r="A512" s="2">
        <v>44888</v>
      </c>
      <c r="B512" s="1">
        <v>35.25</v>
      </c>
      <c r="C512" s="1">
        <v>49.14</v>
      </c>
    </row>
    <row r="513" spans="1:3">
      <c r="A513" s="2">
        <v>44889</v>
      </c>
      <c r="B513" s="1">
        <v>36.93</v>
      </c>
      <c r="C513" s="1">
        <v>51.12</v>
      </c>
    </row>
    <row r="514" spans="1:3">
      <c r="A514" s="2">
        <v>44890</v>
      </c>
      <c r="B514" s="1">
        <v>37.3</v>
      </c>
      <c r="C514" s="1">
        <v>51.53</v>
      </c>
    </row>
    <row r="515" spans="1:3">
      <c r="A515" s="2">
        <v>44893</v>
      </c>
      <c r="B515" s="1">
        <v>37.07</v>
      </c>
      <c r="C515" s="1">
        <v>51.13</v>
      </c>
    </row>
    <row r="516" spans="1:3">
      <c r="A516" s="2">
        <v>44894</v>
      </c>
      <c r="B516" s="1">
        <v>39.17</v>
      </c>
      <c r="C516" s="1">
        <v>53.29</v>
      </c>
    </row>
    <row r="517" spans="1:3">
      <c r="A517" s="2">
        <v>44895</v>
      </c>
      <c r="B517" s="1">
        <v>38.5</v>
      </c>
      <c r="C517" s="1">
        <v>52.73</v>
      </c>
    </row>
    <row r="518" spans="1:3">
      <c r="A518" s="2">
        <v>44896</v>
      </c>
      <c r="B518" s="1">
        <v>38.75</v>
      </c>
      <c r="C518" s="1">
        <v>52.95</v>
      </c>
    </row>
    <row r="519" spans="1:3">
      <c r="A519" s="2">
        <v>44897</v>
      </c>
      <c r="B519" s="1">
        <v>35.68</v>
      </c>
      <c r="C519" s="1">
        <v>49.97</v>
      </c>
    </row>
    <row r="520" spans="1:3">
      <c r="A520" s="2">
        <v>44900</v>
      </c>
      <c r="B520" s="1">
        <v>36.8</v>
      </c>
      <c r="C520" s="1">
        <v>51.09</v>
      </c>
    </row>
    <row r="521" spans="1:3">
      <c r="A521" s="2">
        <v>44901</v>
      </c>
      <c r="B521" s="1">
        <v>38.33</v>
      </c>
      <c r="C521" s="1">
        <v>52.7</v>
      </c>
    </row>
    <row r="522" spans="1:3">
      <c r="A522" s="2">
        <v>44902</v>
      </c>
      <c r="B522" s="1">
        <v>38.2</v>
      </c>
      <c r="C522" s="1">
        <v>52.63</v>
      </c>
    </row>
    <row r="523" spans="1:3">
      <c r="A523" s="2">
        <v>44903</v>
      </c>
      <c r="B523" s="1">
        <v>36.02</v>
      </c>
      <c r="C523" s="1">
        <v>50.63</v>
      </c>
    </row>
    <row r="524" spans="1:3">
      <c r="A524" s="2">
        <v>44904</v>
      </c>
      <c r="B524" s="1">
        <v>37.67</v>
      </c>
      <c r="C524" s="1">
        <v>52.4</v>
      </c>
    </row>
    <row r="525" spans="1:3">
      <c r="A525" s="2">
        <v>44907</v>
      </c>
      <c r="B525" s="1">
        <v>35.65</v>
      </c>
      <c r="C525" s="1">
        <v>50.44</v>
      </c>
    </row>
    <row r="526" spans="1:3">
      <c r="A526" s="2">
        <v>44908</v>
      </c>
      <c r="B526" s="1">
        <v>36.01</v>
      </c>
      <c r="C526" s="1">
        <v>51.02</v>
      </c>
    </row>
    <row r="527" spans="1:3">
      <c r="A527" s="2">
        <v>44909</v>
      </c>
      <c r="B527" s="1">
        <v>38.12</v>
      </c>
      <c r="C527" s="1">
        <v>52.69</v>
      </c>
    </row>
    <row r="528" spans="1:3">
      <c r="A528" s="2">
        <v>44910</v>
      </c>
      <c r="B528" s="1">
        <v>38.01</v>
      </c>
      <c r="C528" s="1">
        <v>52.82</v>
      </c>
    </row>
    <row r="529" spans="1:3">
      <c r="A529" s="2">
        <v>44911</v>
      </c>
      <c r="B529" s="1">
        <v>36.35</v>
      </c>
      <c r="C529" s="1">
        <v>51.15</v>
      </c>
    </row>
    <row r="530" spans="1:3">
      <c r="A530" s="2">
        <v>44914</v>
      </c>
      <c r="B530" s="1">
        <v>37.85</v>
      </c>
      <c r="C530" s="1">
        <v>52.11</v>
      </c>
    </row>
    <row r="531" spans="1:3">
      <c r="A531" s="2">
        <v>44915</v>
      </c>
      <c r="B531" s="1">
        <v>40.81</v>
      </c>
      <c r="C531" s="1">
        <v>55</v>
      </c>
    </row>
    <row r="532" spans="1:3">
      <c r="A532" s="2">
        <v>44916</v>
      </c>
      <c r="B532" s="1">
        <v>38.72</v>
      </c>
      <c r="C532" s="1">
        <v>53.05</v>
      </c>
    </row>
    <row r="533" spans="1:3">
      <c r="A533" s="2">
        <v>44917</v>
      </c>
      <c r="B533" s="1">
        <v>39.62</v>
      </c>
      <c r="C533" s="1">
        <v>53.84</v>
      </c>
    </row>
    <row r="534" spans="1:3">
      <c r="A534" s="2">
        <v>44918</v>
      </c>
      <c r="B534" s="1">
        <v>39.9</v>
      </c>
      <c r="C534" s="1">
        <v>54.27</v>
      </c>
    </row>
    <row r="535" spans="1:3">
      <c r="A535" s="2">
        <v>44921</v>
      </c>
      <c r="B535" s="1">
        <v>39.47</v>
      </c>
      <c r="C535" s="1">
        <v>54.18</v>
      </c>
    </row>
    <row r="536" spans="1:3">
      <c r="A536" s="2">
        <v>44922</v>
      </c>
      <c r="B536" s="1">
        <v>39.08</v>
      </c>
      <c r="C536" s="1">
        <v>54.11</v>
      </c>
    </row>
    <row r="537" spans="1:3">
      <c r="A537" s="2">
        <v>44923</v>
      </c>
      <c r="B537" s="1">
        <v>40.13</v>
      </c>
      <c r="C537" s="1">
        <v>55.52</v>
      </c>
    </row>
    <row r="538" spans="1:3">
      <c r="A538" s="2">
        <v>44924</v>
      </c>
      <c r="B538" s="1">
        <v>39.06</v>
      </c>
      <c r="C538" s="1">
        <v>54.57</v>
      </c>
    </row>
    <row r="539" spans="1:3">
      <c r="A539" s="2">
        <v>44925</v>
      </c>
      <c r="B539" s="1">
        <v>38.87</v>
      </c>
      <c r="C539" s="1">
        <v>54.29</v>
      </c>
    </row>
    <row r="540" spans="1:3">
      <c r="A540" s="2">
        <v>44929</v>
      </c>
      <c r="B540" s="1">
        <v>36.37</v>
      </c>
      <c r="C540" s="1">
        <v>51.64</v>
      </c>
    </row>
    <row r="541" spans="1:3">
      <c r="A541" s="2">
        <v>44930</v>
      </c>
      <c r="B541" s="1">
        <v>37.53</v>
      </c>
      <c r="C541" s="1">
        <v>52.61</v>
      </c>
    </row>
    <row r="542" spans="1:3">
      <c r="A542" s="2">
        <v>44931</v>
      </c>
      <c r="B542" s="1">
        <v>41.03</v>
      </c>
      <c r="C542" s="1">
        <v>55.65</v>
      </c>
    </row>
    <row r="543" spans="1:3">
      <c r="A543" s="2">
        <v>44932</v>
      </c>
      <c r="B543" s="1">
        <v>39.28</v>
      </c>
      <c r="C543" s="1">
        <v>54.35</v>
      </c>
    </row>
    <row r="544" spans="1:3">
      <c r="A544" s="2">
        <v>44935</v>
      </c>
      <c r="B544" s="1">
        <v>40.01</v>
      </c>
      <c r="C544" s="1">
        <v>55.22</v>
      </c>
    </row>
    <row r="545" spans="1:3">
      <c r="A545" s="2">
        <v>44936</v>
      </c>
      <c r="B545" s="1">
        <v>41.09</v>
      </c>
      <c r="C545" s="1">
        <v>55.98</v>
      </c>
    </row>
    <row r="546" spans="1:3">
      <c r="A546" s="2">
        <v>44937</v>
      </c>
      <c r="B546" s="1">
        <v>39.94</v>
      </c>
      <c r="C546" s="1">
        <v>54.54</v>
      </c>
    </row>
    <row r="547" spans="1:3">
      <c r="A547" s="2">
        <v>44938</v>
      </c>
      <c r="B547" s="1">
        <v>40.56</v>
      </c>
      <c r="C547" s="1">
        <v>55.42</v>
      </c>
    </row>
    <row r="548" spans="1:3">
      <c r="A548" s="2">
        <v>44939</v>
      </c>
      <c r="B548" s="1">
        <v>41.13</v>
      </c>
      <c r="C548" s="1">
        <v>56.01</v>
      </c>
    </row>
    <row r="549" spans="1:3">
      <c r="A549" s="2">
        <v>44942</v>
      </c>
      <c r="B549" s="1">
        <v>42.14</v>
      </c>
      <c r="C549" s="1">
        <v>56.78</v>
      </c>
    </row>
    <row r="550" spans="1:3">
      <c r="A550" s="2">
        <v>44943</v>
      </c>
      <c r="B550" s="1">
        <v>39.86</v>
      </c>
      <c r="C550" s="1">
        <v>54.35</v>
      </c>
    </row>
    <row r="551" spans="1:3">
      <c r="A551" s="2">
        <v>44944</v>
      </c>
      <c r="B551" s="1">
        <v>38.22</v>
      </c>
      <c r="C551" s="1">
        <v>53.18</v>
      </c>
    </row>
    <row r="552" spans="1:3">
      <c r="A552" s="2">
        <v>44945</v>
      </c>
      <c r="B552" s="1">
        <v>38.79</v>
      </c>
      <c r="C552" s="1">
        <v>53.37</v>
      </c>
    </row>
    <row r="553" spans="1:3">
      <c r="A553" s="2">
        <v>44946</v>
      </c>
      <c r="B553" s="1">
        <v>39.82</v>
      </c>
      <c r="C553" s="1">
        <v>54.14</v>
      </c>
    </row>
    <row r="554" spans="1:3">
      <c r="A554" s="2">
        <v>44956</v>
      </c>
      <c r="B554" s="1">
        <v>38.81</v>
      </c>
      <c r="C554" s="1">
        <v>52.89</v>
      </c>
    </row>
    <row r="555" spans="1:3">
      <c r="A555" s="2">
        <v>44957</v>
      </c>
      <c r="B555" s="1">
        <v>37.48</v>
      </c>
      <c r="C555" s="1">
        <v>51.87</v>
      </c>
    </row>
    <row r="556" spans="1:3">
      <c r="A556" s="2">
        <v>44958</v>
      </c>
      <c r="B556" s="1">
        <v>35.84</v>
      </c>
      <c r="C556" s="1">
        <v>50.24</v>
      </c>
    </row>
    <row r="557" spans="1:3">
      <c r="A557" s="2">
        <v>44959</v>
      </c>
      <c r="B557" s="1">
        <v>35.15</v>
      </c>
      <c r="C557" s="1">
        <v>49.97</v>
      </c>
    </row>
    <row r="558" spans="1:3">
      <c r="A558" s="2">
        <v>44960</v>
      </c>
      <c r="B558" s="1">
        <v>34.98</v>
      </c>
      <c r="C558" s="1">
        <v>49.64</v>
      </c>
    </row>
    <row r="559" spans="1:3">
      <c r="A559" s="2">
        <v>44963</v>
      </c>
      <c r="B559" s="1">
        <v>36.48</v>
      </c>
      <c r="C559" s="1">
        <v>50.94</v>
      </c>
    </row>
    <row r="560" spans="1:3">
      <c r="A560" s="2">
        <v>44964</v>
      </c>
      <c r="B560" s="1">
        <v>34.33</v>
      </c>
      <c r="C560" s="1">
        <v>49.15</v>
      </c>
    </row>
    <row r="561" spans="1:3">
      <c r="A561" s="2">
        <v>44965</v>
      </c>
      <c r="B561" s="1">
        <v>34.64</v>
      </c>
      <c r="C561" s="1">
        <v>49.26</v>
      </c>
    </row>
    <row r="562" spans="1:3">
      <c r="A562" s="2">
        <v>44966</v>
      </c>
      <c r="B562" s="1">
        <v>35.1</v>
      </c>
      <c r="C562" s="1">
        <v>49.7</v>
      </c>
    </row>
    <row r="563" spans="1:3">
      <c r="A563" s="2">
        <v>44967</v>
      </c>
      <c r="B563" s="1">
        <v>34.35</v>
      </c>
      <c r="C563" s="1">
        <v>48.72</v>
      </c>
    </row>
    <row r="564" spans="1:3">
      <c r="A564" s="2">
        <v>44970</v>
      </c>
      <c r="B564" s="1">
        <v>34.85</v>
      </c>
      <c r="C564" s="1">
        <v>48.71</v>
      </c>
    </row>
    <row r="565" spans="1:3">
      <c r="A565" s="2">
        <v>44971</v>
      </c>
      <c r="B565" s="1">
        <v>34.78</v>
      </c>
      <c r="C565" s="1">
        <v>48.93</v>
      </c>
    </row>
    <row r="566" spans="1:3">
      <c r="A566" s="2">
        <v>44972</v>
      </c>
      <c r="B566" s="1">
        <v>35.57</v>
      </c>
      <c r="C566" s="1">
        <v>49.71</v>
      </c>
    </row>
    <row r="567" spans="1:3">
      <c r="A567" s="2">
        <v>44973</v>
      </c>
      <c r="B567" s="1">
        <v>34.31</v>
      </c>
      <c r="C567" s="1">
        <v>48.1</v>
      </c>
    </row>
    <row r="568" spans="1:3">
      <c r="A568" s="2">
        <v>44974</v>
      </c>
      <c r="B568" s="1">
        <v>36.93</v>
      </c>
      <c r="C568" s="1">
        <v>51.1</v>
      </c>
    </row>
    <row r="569" spans="1:3">
      <c r="A569" s="2">
        <v>44977</v>
      </c>
      <c r="B569" s="1">
        <v>38.29</v>
      </c>
      <c r="C569" s="1">
        <v>52.62</v>
      </c>
    </row>
    <row r="570" spans="1:3">
      <c r="A570" s="2">
        <v>44978</v>
      </c>
      <c r="B570" s="1">
        <v>37.71</v>
      </c>
      <c r="C570" s="1">
        <v>51.77</v>
      </c>
    </row>
    <row r="571" spans="1:3">
      <c r="A571" s="2">
        <v>44979</v>
      </c>
      <c r="B571" s="1">
        <v>37.3</v>
      </c>
      <c r="C571" s="1">
        <v>51.21</v>
      </c>
    </row>
    <row r="572" spans="1:3">
      <c r="A572" s="2">
        <v>44980</v>
      </c>
      <c r="B572" s="1">
        <v>37.06</v>
      </c>
      <c r="C572" s="1">
        <v>50.67</v>
      </c>
    </row>
    <row r="573" spans="1:3">
      <c r="A573" s="2">
        <v>44981</v>
      </c>
      <c r="B573" s="1">
        <v>38.82</v>
      </c>
      <c r="C573" s="1">
        <v>52.25</v>
      </c>
    </row>
    <row r="574" spans="1:3">
      <c r="A574" s="2">
        <v>44984</v>
      </c>
      <c r="B574" s="1">
        <v>36.45</v>
      </c>
      <c r="C574" s="1">
        <v>50.21</v>
      </c>
    </row>
    <row r="575" spans="1:3">
      <c r="A575" s="2">
        <v>44985</v>
      </c>
      <c r="B575" s="1">
        <v>37.29</v>
      </c>
      <c r="C575" s="1">
        <v>51.02</v>
      </c>
    </row>
    <row r="576" spans="1:3">
      <c r="A576" s="2">
        <v>44986</v>
      </c>
      <c r="B576" s="1">
        <v>40.18</v>
      </c>
      <c r="C576" s="1">
        <v>53.6</v>
      </c>
    </row>
    <row r="577" spans="1:3">
      <c r="A577" s="2">
        <v>44987</v>
      </c>
      <c r="B577" s="1">
        <v>38.14</v>
      </c>
      <c r="C577" s="1">
        <v>52.03</v>
      </c>
    </row>
    <row r="578" spans="1:3">
      <c r="A578" s="2">
        <v>44988</v>
      </c>
      <c r="B578" s="1">
        <v>38.71</v>
      </c>
      <c r="C578" s="1">
        <v>52.57</v>
      </c>
    </row>
    <row r="579" spans="1:3">
      <c r="A579" s="2">
        <v>44991</v>
      </c>
      <c r="B579" s="1">
        <v>39.23</v>
      </c>
      <c r="C579" s="1">
        <v>53.09</v>
      </c>
    </row>
    <row r="580" spans="1:3">
      <c r="A580" s="2">
        <v>44992</v>
      </c>
      <c r="B580" s="1">
        <v>38.38</v>
      </c>
      <c r="C580" s="1">
        <v>51.73</v>
      </c>
    </row>
    <row r="581" spans="1:3">
      <c r="A581" s="2">
        <v>44993</v>
      </c>
      <c r="B581" s="1">
        <v>38.85</v>
      </c>
      <c r="C581" s="1">
        <v>52.89</v>
      </c>
    </row>
    <row r="582" spans="1:3">
      <c r="A582" s="2">
        <v>44994</v>
      </c>
      <c r="B582" s="1">
        <v>38.75</v>
      </c>
      <c r="C582" s="1">
        <v>52.6</v>
      </c>
    </row>
    <row r="583" spans="1:3">
      <c r="A583" s="2">
        <v>44995</v>
      </c>
      <c r="B583" s="1">
        <v>38.07</v>
      </c>
      <c r="C583" s="1">
        <v>52.05</v>
      </c>
    </row>
    <row r="584" spans="1:3">
      <c r="A584" s="2">
        <v>44998</v>
      </c>
      <c r="B584" s="1">
        <v>39.34</v>
      </c>
      <c r="C584" s="1">
        <v>53.27</v>
      </c>
    </row>
    <row r="585" spans="1:3">
      <c r="A585" s="2">
        <v>44999</v>
      </c>
      <c r="B585" s="1">
        <v>40.27</v>
      </c>
      <c r="C585" s="1">
        <v>54.21</v>
      </c>
    </row>
    <row r="586" spans="1:3">
      <c r="A586" s="2">
        <v>45000</v>
      </c>
      <c r="B586" s="1">
        <v>39.1</v>
      </c>
      <c r="C586" s="1">
        <v>53.28</v>
      </c>
    </row>
    <row r="587" spans="1:3">
      <c r="A587" s="2">
        <v>45001</v>
      </c>
      <c r="B587" s="1">
        <v>40.4</v>
      </c>
      <c r="C587" s="1">
        <v>54.55</v>
      </c>
    </row>
    <row r="588" spans="1:3">
      <c r="A588" s="2">
        <v>45002</v>
      </c>
      <c r="B588" s="1">
        <v>42.08</v>
      </c>
      <c r="C588" s="1">
        <v>56.57</v>
      </c>
    </row>
    <row r="589" spans="1:3">
      <c r="A589" s="2">
        <v>45005</v>
      </c>
      <c r="B589" s="1">
        <v>42.06</v>
      </c>
      <c r="C589" s="1">
        <v>56.19</v>
      </c>
    </row>
    <row r="590" spans="1:3">
      <c r="A590" s="2">
        <v>45006</v>
      </c>
      <c r="B590" s="1">
        <v>40.19</v>
      </c>
      <c r="C590" s="1">
        <v>54.62</v>
      </c>
    </row>
    <row r="591" spans="1:3">
      <c r="A591" s="2">
        <v>45007</v>
      </c>
      <c r="B591" s="1">
        <v>40.91</v>
      </c>
      <c r="C591" s="1">
        <v>55.41</v>
      </c>
    </row>
    <row r="592" spans="1:3">
      <c r="A592" s="2">
        <v>45008</v>
      </c>
      <c r="B592" s="1">
        <v>43.59</v>
      </c>
      <c r="C592" s="1">
        <v>58.01</v>
      </c>
    </row>
    <row r="593" spans="1:3">
      <c r="A593" s="2">
        <v>45009</v>
      </c>
      <c r="B593" s="1">
        <v>42.45</v>
      </c>
      <c r="C593" s="1">
        <v>57.11</v>
      </c>
    </row>
    <row r="594" spans="1:3">
      <c r="A594" s="2">
        <v>45012</v>
      </c>
      <c r="B594" s="1">
        <v>43.34</v>
      </c>
      <c r="C594" s="1">
        <v>57.71</v>
      </c>
    </row>
    <row r="595" spans="1:3">
      <c r="A595" s="2">
        <v>45013</v>
      </c>
      <c r="B595" s="1">
        <v>41.89</v>
      </c>
      <c r="C595" s="1">
        <v>56.71</v>
      </c>
    </row>
    <row r="596" spans="1:3">
      <c r="A596" s="2">
        <v>45014</v>
      </c>
      <c r="B596" s="1">
        <v>43.43</v>
      </c>
      <c r="C596" s="1">
        <v>57.43</v>
      </c>
    </row>
    <row r="597" spans="1:3">
      <c r="A597" s="2">
        <v>45015</v>
      </c>
      <c r="B597" s="1">
        <v>44.06</v>
      </c>
      <c r="C597" s="1">
        <v>57.62</v>
      </c>
    </row>
    <row r="598" spans="1:3">
      <c r="A598" s="2">
        <v>45016</v>
      </c>
      <c r="B598" s="1">
        <v>44</v>
      </c>
      <c r="C598" s="1">
        <v>58.07</v>
      </c>
    </row>
    <row r="599" spans="1:3">
      <c r="A599" s="2">
        <v>45019</v>
      </c>
      <c r="B599" s="1">
        <v>45.22</v>
      </c>
      <c r="C599" s="1">
        <v>59.49</v>
      </c>
    </row>
    <row r="600" spans="1:3">
      <c r="A600" s="2">
        <v>45020</v>
      </c>
      <c r="B600" s="1">
        <v>45.4</v>
      </c>
      <c r="C600" s="1">
        <v>59.85</v>
      </c>
    </row>
    <row r="601" spans="1:3">
      <c r="A601" s="2">
        <v>45022</v>
      </c>
      <c r="B601" s="1">
        <v>46.14</v>
      </c>
      <c r="C601" s="1">
        <v>60.11</v>
      </c>
    </row>
    <row r="602" spans="1:3">
      <c r="A602" s="2">
        <v>45023</v>
      </c>
      <c r="B602" s="1">
        <v>43.58</v>
      </c>
      <c r="C602" s="1">
        <v>57.88</v>
      </c>
    </row>
    <row r="603" spans="1:3">
      <c r="A603" s="2">
        <v>45026</v>
      </c>
      <c r="B603" s="1">
        <v>44.46</v>
      </c>
      <c r="C603" s="1">
        <v>58.42</v>
      </c>
    </row>
    <row r="604" spans="1:3">
      <c r="A604" s="2">
        <v>45027</v>
      </c>
      <c r="B604" s="1">
        <v>45.48</v>
      </c>
      <c r="C604" s="1">
        <v>59.74</v>
      </c>
    </row>
    <row r="605" spans="1:3">
      <c r="A605" s="2">
        <v>45028</v>
      </c>
      <c r="B605" s="1">
        <v>44.47</v>
      </c>
      <c r="C605" s="1">
        <v>59.02</v>
      </c>
    </row>
    <row r="606" spans="1:3">
      <c r="A606" s="2">
        <v>45029</v>
      </c>
      <c r="B606" s="1">
        <v>42.54</v>
      </c>
      <c r="C606" s="1">
        <v>57.1</v>
      </c>
    </row>
    <row r="607" spans="1:3">
      <c r="A607" s="2">
        <v>45030</v>
      </c>
      <c r="B607" s="1">
        <v>42.73</v>
      </c>
      <c r="C607" s="1">
        <v>57.83</v>
      </c>
    </row>
    <row r="608" spans="1:3">
      <c r="A608" s="2">
        <v>45033</v>
      </c>
      <c r="B608" s="1">
        <v>41.1</v>
      </c>
      <c r="C608" s="1">
        <v>55.89</v>
      </c>
    </row>
    <row r="609" spans="1:3">
      <c r="A609" s="2">
        <v>45034</v>
      </c>
      <c r="B609" s="1">
        <v>43.79</v>
      </c>
      <c r="C609" s="1">
        <v>58.13</v>
      </c>
    </row>
    <row r="610" spans="1:3">
      <c r="A610" s="2">
        <v>45035</v>
      </c>
      <c r="B610" s="1">
        <v>44.13</v>
      </c>
      <c r="C610" s="1">
        <v>58.59</v>
      </c>
    </row>
    <row r="611" spans="1:3">
      <c r="A611" s="2">
        <v>45036</v>
      </c>
      <c r="B611" s="1">
        <v>44.96</v>
      </c>
      <c r="C611" s="1">
        <v>59.47</v>
      </c>
    </row>
    <row r="612" spans="1:3">
      <c r="A612" s="2">
        <v>45037</v>
      </c>
      <c r="B612" s="1">
        <v>43.16</v>
      </c>
      <c r="C612" s="1">
        <v>57.31</v>
      </c>
    </row>
    <row r="613" spans="1:3">
      <c r="A613" s="2">
        <v>45040</v>
      </c>
      <c r="B613" s="1">
        <v>44.32</v>
      </c>
      <c r="C613" s="1">
        <v>58.31</v>
      </c>
    </row>
    <row r="614" spans="1:3">
      <c r="A614" s="2">
        <v>45041</v>
      </c>
      <c r="B614" s="1">
        <v>43.24</v>
      </c>
      <c r="C614" s="1">
        <v>57.31</v>
      </c>
    </row>
    <row r="615" spans="1:3">
      <c r="A615" s="2">
        <v>45042</v>
      </c>
      <c r="B615" s="1">
        <v>45.27</v>
      </c>
      <c r="C615" s="1">
        <v>59.68</v>
      </c>
    </row>
    <row r="616" spans="1:3">
      <c r="A616" s="2">
        <v>45043</v>
      </c>
      <c r="B616" s="1">
        <v>44.17</v>
      </c>
      <c r="C616" s="1">
        <v>58.51</v>
      </c>
    </row>
    <row r="617" spans="1:3">
      <c r="A617" s="2">
        <v>45044</v>
      </c>
      <c r="B617" s="1">
        <v>42.98</v>
      </c>
      <c r="C617" s="1">
        <v>57.08</v>
      </c>
    </row>
    <row r="618" spans="1:3">
      <c r="A618" s="2">
        <v>45050</v>
      </c>
      <c r="B618" s="1">
        <v>42.42</v>
      </c>
      <c r="C618" s="1">
        <v>56.87</v>
      </c>
    </row>
    <row r="619" spans="1:3">
      <c r="A619" s="2">
        <v>45051</v>
      </c>
      <c r="B619" s="1">
        <v>43.78</v>
      </c>
      <c r="C619" s="1">
        <v>58.19</v>
      </c>
    </row>
    <row r="620" spans="1:3">
      <c r="A620" s="2">
        <v>45054</v>
      </c>
      <c r="B620" s="1">
        <v>45.17</v>
      </c>
      <c r="C620" s="1">
        <v>59.75</v>
      </c>
    </row>
    <row r="621" spans="1:3">
      <c r="A621" s="2">
        <v>45055</v>
      </c>
      <c r="B621" s="1">
        <v>46.15</v>
      </c>
      <c r="C621" s="1">
        <v>60.93</v>
      </c>
    </row>
    <row r="622" spans="1:3">
      <c r="A622" s="2">
        <v>45056</v>
      </c>
      <c r="B622" s="1">
        <v>46.63</v>
      </c>
      <c r="C622" s="1">
        <v>61</v>
      </c>
    </row>
    <row r="623" spans="1:3">
      <c r="A623" s="2">
        <v>45057</v>
      </c>
      <c r="B623" s="1">
        <v>43.73</v>
      </c>
      <c r="C623" s="1">
        <v>58.77</v>
      </c>
    </row>
    <row r="624" spans="1:3">
      <c r="A624" s="2">
        <v>45058</v>
      </c>
      <c r="B624" s="1">
        <v>42.59</v>
      </c>
      <c r="C624" s="1">
        <v>57.8</v>
      </c>
    </row>
    <row r="625" spans="1:3">
      <c r="A625" s="2">
        <v>45061</v>
      </c>
      <c r="B625" s="1">
        <v>43.93</v>
      </c>
      <c r="C625" s="1">
        <v>58.83</v>
      </c>
    </row>
    <row r="626" spans="1:3">
      <c r="A626" s="2">
        <v>45062</v>
      </c>
      <c r="B626" s="1">
        <v>42.85</v>
      </c>
      <c r="C626" s="1">
        <v>57.39</v>
      </c>
    </row>
    <row r="627" spans="1:3">
      <c r="A627" s="2">
        <v>45063</v>
      </c>
      <c r="B627" s="1">
        <v>41.74</v>
      </c>
      <c r="C627" s="1">
        <v>56.39</v>
      </c>
    </row>
    <row r="628" spans="1:3">
      <c r="A628" s="2">
        <v>45064</v>
      </c>
      <c r="B628" s="1">
        <v>42.99</v>
      </c>
      <c r="C628" s="1">
        <v>57.67</v>
      </c>
    </row>
    <row r="629" spans="1:3">
      <c r="A629" s="2">
        <v>45065</v>
      </c>
      <c r="B629" s="1">
        <v>42.24</v>
      </c>
      <c r="C629" s="1">
        <v>56.99</v>
      </c>
    </row>
    <row r="630" spans="1:3">
      <c r="A630" s="2">
        <v>45068</v>
      </c>
      <c r="B630" s="1">
        <v>39.31</v>
      </c>
      <c r="C630" s="1">
        <v>54.15</v>
      </c>
    </row>
    <row r="631" spans="1:3">
      <c r="A631" s="2">
        <v>45069</v>
      </c>
      <c r="B631" s="1">
        <v>39.21</v>
      </c>
      <c r="C631" s="1">
        <v>53.83</v>
      </c>
    </row>
    <row r="632" spans="1:3">
      <c r="A632" s="2">
        <v>45070</v>
      </c>
      <c r="B632" s="1">
        <v>41.87</v>
      </c>
      <c r="C632" s="1">
        <v>56.34</v>
      </c>
    </row>
    <row r="633" spans="1:3">
      <c r="A633" s="2">
        <v>45071</v>
      </c>
      <c r="B633" s="1">
        <v>42.03</v>
      </c>
      <c r="C633" s="1">
        <v>56.04</v>
      </c>
    </row>
    <row r="634" spans="1:3">
      <c r="A634" s="2">
        <v>45072</v>
      </c>
      <c r="B634" s="1">
        <v>42.79</v>
      </c>
      <c r="C634" s="1">
        <v>57.08</v>
      </c>
    </row>
    <row r="635" spans="1:3">
      <c r="A635" s="2">
        <v>45075</v>
      </c>
      <c r="B635" s="1">
        <v>43.11</v>
      </c>
      <c r="C635" s="1">
        <v>57.69</v>
      </c>
    </row>
    <row r="636" spans="1:3">
      <c r="A636" s="2">
        <v>45076</v>
      </c>
      <c r="B636" s="1">
        <v>44.38</v>
      </c>
      <c r="C636" s="1">
        <v>58.72</v>
      </c>
    </row>
    <row r="637" spans="1:3">
      <c r="A637" s="2">
        <v>45077</v>
      </c>
      <c r="B637" s="1">
        <v>44.38</v>
      </c>
      <c r="C637" s="1">
        <v>59.01</v>
      </c>
    </row>
    <row r="638" spans="1:3">
      <c r="A638" s="2">
        <v>45078</v>
      </c>
      <c r="B638" s="1">
        <v>43.17</v>
      </c>
      <c r="C638" s="1">
        <v>57.66</v>
      </c>
    </row>
    <row r="639" spans="1:3">
      <c r="A639" s="2">
        <v>45079</v>
      </c>
      <c r="B639" s="1">
        <v>41.45</v>
      </c>
      <c r="C639" s="1">
        <v>55.98</v>
      </c>
    </row>
    <row r="640" spans="1:3">
      <c r="A640" s="2">
        <v>45082</v>
      </c>
      <c r="B640" s="1">
        <v>41.04</v>
      </c>
      <c r="C640" s="1">
        <v>55.44</v>
      </c>
    </row>
    <row r="641" spans="1:3">
      <c r="A641" s="2">
        <v>45083</v>
      </c>
      <c r="B641" s="1">
        <v>40.75</v>
      </c>
      <c r="C641" s="1">
        <v>55.34</v>
      </c>
    </row>
    <row r="642" spans="1:3">
      <c r="A642" s="2">
        <v>45084</v>
      </c>
      <c r="B642" s="1">
        <v>42.17</v>
      </c>
      <c r="C642" s="1">
        <v>56.7</v>
      </c>
    </row>
    <row r="643" spans="1:3">
      <c r="A643" s="2">
        <v>45085</v>
      </c>
      <c r="B643" s="1">
        <v>41.35</v>
      </c>
      <c r="C643" s="1">
        <v>55.97</v>
      </c>
    </row>
    <row r="644" spans="1:3">
      <c r="A644" s="2">
        <v>45086</v>
      </c>
      <c r="B644" s="1">
        <v>42.8</v>
      </c>
      <c r="C644" s="1">
        <v>57.51</v>
      </c>
    </row>
    <row r="645" spans="1:3">
      <c r="A645" s="2">
        <v>45089</v>
      </c>
      <c r="B645" s="1">
        <v>40.9</v>
      </c>
      <c r="C645" s="1">
        <v>55.47</v>
      </c>
    </row>
    <row r="646" spans="1:3">
      <c r="A646" s="2">
        <v>45090</v>
      </c>
      <c r="B646" s="1">
        <v>44.07</v>
      </c>
      <c r="C646" s="1">
        <v>58.2</v>
      </c>
    </row>
    <row r="647" spans="1:3">
      <c r="A647" s="2">
        <v>45091</v>
      </c>
      <c r="B647" s="1">
        <v>44.45</v>
      </c>
      <c r="C647" s="1">
        <v>58.61</v>
      </c>
    </row>
    <row r="648" spans="1:3">
      <c r="A648" s="2">
        <v>45092</v>
      </c>
      <c r="B648" s="1">
        <v>43.85</v>
      </c>
      <c r="C648" s="1">
        <v>58.29</v>
      </c>
    </row>
    <row r="649" spans="1:3">
      <c r="A649" s="2">
        <v>45093</v>
      </c>
      <c r="B649" s="1">
        <v>43.71</v>
      </c>
      <c r="C649" s="1">
        <v>57.87</v>
      </c>
    </row>
    <row r="650" spans="1:3">
      <c r="A650" s="2">
        <v>45096</v>
      </c>
      <c r="B650" s="1">
        <v>44.08</v>
      </c>
      <c r="C650" s="1">
        <v>58.33</v>
      </c>
    </row>
    <row r="651" spans="1:3">
      <c r="A651" s="2">
        <v>45097</v>
      </c>
      <c r="B651" s="1">
        <v>45.97</v>
      </c>
      <c r="C651" s="1">
        <v>59.86</v>
      </c>
    </row>
    <row r="652" spans="1:3">
      <c r="A652" s="2">
        <v>45098</v>
      </c>
      <c r="B652" s="1">
        <v>44.34</v>
      </c>
      <c r="C652" s="1">
        <v>58.18</v>
      </c>
    </row>
    <row r="653" spans="1:3">
      <c r="A653" s="2">
        <v>45103</v>
      </c>
      <c r="B653" s="1">
        <v>42.48</v>
      </c>
      <c r="C653" s="1">
        <v>56.08</v>
      </c>
    </row>
    <row r="654" spans="1:3">
      <c r="A654" s="2">
        <v>45104</v>
      </c>
      <c r="B654" s="1">
        <v>40.4</v>
      </c>
      <c r="C654" s="1">
        <v>54.58</v>
      </c>
    </row>
    <row r="655" spans="1:3">
      <c r="A655" s="2">
        <v>45105</v>
      </c>
      <c r="B655" s="1">
        <v>41.73</v>
      </c>
      <c r="C655" s="1">
        <v>55.74</v>
      </c>
    </row>
    <row r="656" spans="1:3">
      <c r="A656" s="2">
        <v>45106</v>
      </c>
      <c r="B656" s="1">
        <v>40.99</v>
      </c>
      <c r="C656" s="1">
        <v>54.63</v>
      </c>
    </row>
    <row r="657" spans="1:3">
      <c r="A657" s="2">
        <v>45107</v>
      </c>
      <c r="B657" s="1">
        <v>39.26</v>
      </c>
      <c r="C657" s="1">
        <v>53.36</v>
      </c>
    </row>
    <row r="658" spans="1:3">
      <c r="A658" s="2">
        <v>45110</v>
      </c>
      <c r="B658" s="1">
        <v>40</v>
      </c>
      <c r="C658" s="1">
        <v>54.35</v>
      </c>
    </row>
    <row r="659" spans="1:3">
      <c r="A659" s="2">
        <v>45111</v>
      </c>
      <c r="B659" s="1">
        <v>39.98</v>
      </c>
      <c r="C659" s="1">
        <v>54.22</v>
      </c>
    </row>
    <row r="660" spans="1:3">
      <c r="A660" s="2">
        <v>45112</v>
      </c>
      <c r="B660" s="1">
        <v>39.18</v>
      </c>
      <c r="C660" s="1">
        <v>53.94</v>
      </c>
    </row>
    <row r="661" spans="1:3">
      <c r="A661" s="2">
        <v>45113</v>
      </c>
      <c r="B661" s="1">
        <v>40.98</v>
      </c>
      <c r="C661" s="1">
        <v>55.46</v>
      </c>
    </row>
    <row r="662" spans="1:3">
      <c r="A662" s="2">
        <v>45114</v>
      </c>
      <c r="B662" s="1">
        <v>40.62</v>
      </c>
      <c r="C662" s="1">
        <v>54.83</v>
      </c>
    </row>
    <row r="663" spans="1:3">
      <c r="A663" s="2">
        <v>45117</v>
      </c>
      <c r="B663" s="1">
        <v>39</v>
      </c>
      <c r="C663" s="1">
        <v>53.95</v>
      </c>
    </row>
    <row r="664" spans="1:3">
      <c r="A664" s="2">
        <v>45118</v>
      </c>
      <c r="B664" s="1">
        <v>39.58</v>
      </c>
      <c r="C664" s="1">
        <v>53.99</v>
      </c>
    </row>
    <row r="665" spans="1:3">
      <c r="A665" s="2">
        <v>45119</v>
      </c>
      <c r="B665" s="1">
        <v>40.79</v>
      </c>
      <c r="C665" s="1">
        <v>55.23</v>
      </c>
    </row>
    <row r="666" spans="1:3">
      <c r="A666" s="2">
        <v>45120</v>
      </c>
      <c r="B666" s="1">
        <v>40.63</v>
      </c>
      <c r="C666" s="1">
        <v>55.43</v>
      </c>
    </row>
    <row r="667" spans="1:3">
      <c r="A667" s="2">
        <v>45121</v>
      </c>
      <c r="B667" s="1">
        <v>41.85</v>
      </c>
      <c r="C667" s="1">
        <v>55.94</v>
      </c>
    </row>
    <row r="668" spans="1:3">
      <c r="A668" s="2">
        <v>45124</v>
      </c>
      <c r="B668" s="1">
        <v>39.86</v>
      </c>
      <c r="C668" s="1">
        <v>53.9</v>
      </c>
    </row>
    <row r="669" spans="1:3">
      <c r="A669" s="2">
        <v>45125</v>
      </c>
      <c r="B669" s="1">
        <v>39.03</v>
      </c>
      <c r="C669" s="1">
        <v>53.28</v>
      </c>
    </row>
    <row r="670" spans="1:3">
      <c r="A670" s="2">
        <v>45126</v>
      </c>
      <c r="B670" s="1">
        <v>38.72</v>
      </c>
      <c r="C670" s="1">
        <v>52.93</v>
      </c>
    </row>
    <row r="671" spans="1:3">
      <c r="A671" s="2">
        <v>45127</v>
      </c>
      <c r="B671" s="1">
        <v>39.38</v>
      </c>
      <c r="C671" s="1">
        <v>53.34</v>
      </c>
    </row>
    <row r="672" spans="1:3">
      <c r="A672" s="2">
        <v>45128</v>
      </c>
      <c r="B672" s="1">
        <v>38.49</v>
      </c>
      <c r="C672" s="1">
        <v>52.45</v>
      </c>
    </row>
    <row r="673" spans="1:3">
      <c r="A673" s="2">
        <v>45131</v>
      </c>
      <c r="B673" s="1">
        <v>38.74</v>
      </c>
      <c r="C673" s="1">
        <v>52.7</v>
      </c>
    </row>
    <row r="674" spans="1:3">
      <c r="A674" s="2">
        <v>45132</v>
      </c>
      <c r="B674" s="1">
        <v>42.41</v>
      </c>
      <c r="C674" s="1">
        <v>56.1</v>
      </c>
    </row>
    <row r="675" spans="1:3">
      <c r="A675" s="2">
        <v>45133</v>
      </c>
      <c r="B675" s="1">
        <v>38.91</v>
      </c>
      <c r="C675" s="1">
        <v>52.84</v>
      </c>
    </row>
    <row r="676" spans="1:3">
      <c r="A676" s="2">
        <v>45134</v>
      </c>
      <c r="B676" s="1">
        <v>37.87</v>
      </c>
      <c r="C676" s="1">
        <v>52.15</v>
      </c>
    </row>
    <row r="677" spans="1:3">
      <c r="A677" s="2">
        <v>45135</v>
      </c>
      <c r="B677" s="1">
        <v>43.2</v>
      </c>
      <c r="C677" s="1">
        <v>56.72</v>
      </c>
    </row>
    <row r="678" spans="1:3">
      <c r="A678" s="2">
        <v>45138</v>
      </c>
      <c r="B678" s="1">
        <v>42.31</v>
      </c>
      <c r="C678" s="1">
        <v>56.35</v>
      </c>
    </row>
    <row r="679" spans="1:3">
      <c r="A679" s="2">
        <v>45139</v>
      </c>
      <c r="B679" s="1">
        <v>41.16</v>
      </c>
      <c r="C679" s="1">
        <v>55.06</v>
      </c>
    </row>
    <row r="680" spans="1:3">
      <c r="A680" s="2">
        <v>45140</v>
      </c>
      <c r="B680" s="1">
        <v>40.79</v>
      </c>
      <c r="C680" s="1">
        <v>55.21</v>
      </c>
    </row>
    <row r="681" spans="1:3">
      <c r="A681" s="2">
        <v>45141</v>
      </c>
      <c r="B681" s="1">
        <v>43.14</v>
      </c>
      <c r="C681" s="1">
        <v>57</v>
      </c>
    </row>
    <row r="682" spans="1:3">
      <c r="A682" s="2">
        <v>45142</v>
      </c>
      <c r="B682" s="1">
        <v>47.03</v>
      </c>
      <c r="C682" s="1">
        <v>60.45</v>
      </c>
    </row>
    <row r="683" spans="1:3">
      <c r="A683" s="2">
        <v>45145</v>
      </c>
      <c r="B683" s="1">
        <v>43.12</v>
      </c>
      <c r="C683" s="1">
        <v>57.15</v>
      </c>
    </row>
    <row r="684" spans="1:3">
      <c r="A684" s="2">
        <v>45146</v>
      </c>
      <c r="B684" s="1">
        <v>42.25</v>
      </c>
      <c r="C684" s="1">
        <v>56.48</v>
      </c>
    </row>
    <row r="685" spans="1:3">
      <c r="A685" s="2">
        <v>45147</v>
      </c>
      <c r="B685" s="1">
        <v>40.87</v>
      </c>
      <c r="C685" s="1">
        <v>55.18</v>
      </c>
    </row>
    <row r="686" spans="1:3">
      <c r="A686" s="2">
        <v>45148</v>
      </c>
      <c r="B686" s="1">
        <v>42.9</v>
      </c>
      <c r="C686" s="1">
        <v>57.02</v>
      </c>
    </row>
    <row r="687" spans="1:3">
      <c r="A687" s="2">
        <v>45149</v>
      </c>
      <c r="B687" s="1">
        <v>40.76</v>
      </c>
      <c r="C687" s="1">
        <v>54.8</v>
      </c>
    </row>
    <row r="688" spans="1:3">
      <c r="A688" s="2">
        <v>45152</v>
      </c>
      <c r="B688" s="1">
        <v>40.95</v>
      </c>
      <c r="C688" s="1">
        <v>55.09</v>
      </c>
    </row>
    <row r="689" spans="1:3">
      <c r="A689" s="2">
        <v>45153</v>
      </c>
      <c r="B689" s="1">
        <v>40.93</v>
      </c>
      <c r="C689" s="1">
        <v>55.39</v>
      </c>
    </row>
    <row r="690" spans="1:3">
      <c r="A690" s="2">
        <v>45154</v>
      </c>
      <c r="B690" s="1">
        <v>42.41</v>
      </c>
      <c r="C690" s="1">
        <v>56.66</v>
      </c>
    </row>
    <row r="691" spans="1:3">
      <c r="A691" s="2">
        <v>45155</v>
      </c>
      <c r="B691" s="1">
        <v>40.08</v>
      </c>
      <c r="C691" s="1">
        <v>54.47</v>
      </c>
    </row>
    <row r="692" spans="1:3">
      <c r="A692" s="2">
        <v>45156</v>
      </c>
      <c r="B692" s="1">
        <v>38.25</v>
      </c>
      <c r="C692" s="1">
        <v>52.59</v>
      </c>
    </row>
    <row r="693" spans="1:3">
      <c r="A693" s="2">
        <v>45159</v>
      </c>
      <c r="B693" s="1">
        <v>39.48</v>
      </c>
      <c r="C693" s="1">
        <v>53.15</v>
      </c>
    </row>
    <row r="694" spans="1:3">
      <c r="A694" s="2">
        <v>45160</v>
      </c>
      <c r="B694" s="1">
        <v>40.14</v>
      </c>
      <c r="C694" s="1">
        <v>53.87</v>
      </c>
    </row>
    <row r="695" spans="1:3">
      <c r="A695" s="2">
        <v>45161</v>
      </c>
      <c r="B695" s="1">
        <v>40.62</v>
      </c>
      <c r="C695" s="1">
        <v>54.87</v>
      </c>
    </row>
    <row r="696" spans="1:3">
      <c r="A696" s="2">
        <v>45162</v>
      </c>
      <c r="B696" s="1">
        <v>41.6</v>
      </c>
      <c r="C696" s="1">
        <v>55.93</v>
      </c>
    </row>
    <row r="697" spans="1:3">
      <c r="A697" s="2">
        <v>45163</v>
      </c>
      <c r="B697" s="1">
        <v>38.33</v>
      </c>
      <c r="C697" s="1">
        <v>52.43</v>
      </c>
    </row>
    <row r="698" spans="1:3">
      <c r="A698" s="2">
        <v>45166</v>
      </c>
      <c r="B698" s="1">
        <v>41.12</v>
      </c>
      <c r="C698" s="1">
        <v>54.58</v>
      </c>
    </row>
    <row r="699" spans="1:3">
      <c r="A699" s="2">
        <v>45167</v>
      </c>
      <c r="B699" s="1">
        <v>38.04</v>
      </c>
      <c r="C699" s="1">
        <v>51.88</v>
      </c>
    </row>
    <row r="700" spans="1:3">
      <c r="A700" s="2">
        <v>45168</v>
      </c>
      <c r="B700" s="1">
        <v>38.13</v>
      </c>
      <c r="C700" s="1">
        <v>52.18</v>
      </c>
    </row>
    <row r="701" spans="1:3">
      <c r="A701" s="2">
        <v>45169</v>
      </c>
      <c r="B701" s="1">
        <v>37.73</v>
      </c>
      <c r="C701" s="1">
        <v>52.25</v>
      </c>
    </row>
    <row r="702" spans="1:3">
      <c r="A702" s="2">
        <v>45170</v>
      </c>
      <c r="B702" s="1">
        <v>38.06</v>
      </c>
      <c r="C702" s="1">
        <v>52.37</v>
      </c>
    </row>
    <row r="703" spans="1:3">
      <c r="A703" s="2">
        <v>45173</v>
      </c>
      <c r="B703" s="1">
        <v>38.15</v>
      </c>
      <c r="C703" s="1">
        <v>52</v>
      </c>
    </row>
    <row r="704" spans="1:3">
      <c r="A704" s="2">
        <v>45174</v>
      </c>
      <c r="B704" s="1">
        <v>38.71</v>
      </c>
      <c r="C704" s="1">
        <v>52.79</v>
      </c>
    </row>
    <row r="705" spans="1:3">
      <c r="A705" s="2">
        <v>45175</v>
      </c>
      <c r="B705" s="1">
        <v>37.9</v>
      </c>
      <c r="C705" s="1">
        <v>52.79</v>
      </c>
    </row>
    <row r="706" spans="1:3">
      <c r="A706" s="2">
        <v>45176</v>
      </c>
      <c r="B706" s="1">
        <v>38.2</v>
      </c>
      <c r="C706" s="1">
        <v>52.61</v>
      </c>
    </row>
    <row r="707" spans="1:3">
      <c r="A707" s="2">
        <v>45177</v>
      </c>
      <c r="B707" s="1">
        <v>39.26</v>
      </c>
      <c r="C707" s="1">
        <v>54.03</v>
      </c>
    </row>
    <row r="708" spans="1:3">
      <c r="A708" s="2">
        <v>45180</v>
      </c>
      <c r="B708" s="1">
        <v>38.93</v>
      </c>
      <c r="C708" s="1">
        <v>53.21</v>
      </c>
    </row>
    <row r="709" spans="1:3">
      <c r="A709" s="2">
        <v>45181</v>
      </c>
      <c r="B709" s="1">
        <v>40.01</v>
      </c>
      <c r="C709" s="1">
        <v>54.34</v>
      </c>
    </row>
    <row r="710" spans="1:3">
      <c r="A710" s="2">
        <v>45182</v>
      </c>
      <c r="B710" s="1">
        <v>37.64</v>
      </c>
      <c r="C710" s="1">
        <v>51.98</v>
      </c>
    </row>
    <row r="711" spans="1:3">
      <c r="A711" s="2">
        <v>45183</v>
      </c>
      <c r="B711" s="1">
        <v>40.07</v>
      </c>
      <c r="C711" s="1">
        <v>54.32</v>
      </c>
    </row>
    <row r="712" spans="1:3">
      <c r="A712" s="2">
        <v>45184</v>
      </c>
      <c r="B712" s="1">
        <v>39.09</v>
      </c>
      <c r="C712" s="1">
        <v>53.76</v>
      </c>
    </row>
    <row r="713" spans="1:3">
      <c r="A713" s="2">
        <v>45187</v>
      </c>
      <c r="B713" s="1">
        <v>38.19</v>
      </c>
      <c r="C713" s="1">
        <v>52.12</v>
      </c>
    </row>
    <row r="714" spans="1:3">
      <c r="A714" s="2">
        <v>45188</v>
      </c>
      <c r="B714" s="1">
        <v>38.07</v>
      </c>
      <c r="C714" s="1">
        <v>52.34</v>
      </c>
    </row>
    <row r="715" spans="1:3">
      <c r="A715" s="2">
        <v>45189</v>
      </c>
      <c r="B715" s="1">
        <v>38.74</v>
      </c>
      <c r="C715" s="1">
        <v>53.08</v>
      </c>
    </row>
    <row r="716" spans="1:3">
      <c r="A716" s="2">
        <v>45190</v>
      </c>
      <c r="B716" s="1">
        <v>40.29</v>
      </c>
      <c r="C716" s="1">
        <v>54.17</v>
      </c>
    </row>
    <row r="717" spans="1:3">
      <c r="A717" s="2">
        <v>45191</v>
      </c>
      <c r="B717" s="1">
        <v>43.17</v>
      </c>
      <c r="C717" s="1">
        <v>56.82</v>
      </c>
    </row>
    <row r="718" spans="1:3">
      <c r="A718" s="2">
        <v>45194</v>
      </c>
      <c r="B718" s="1">
        <v>41.53</v>
      </c>
      <c r="C718" s="1">
        <v>55.71</v>
      </c>
    </row>
    <row r="719" spans="1:3">
      <c r="A719" s="2">
        <v>45195</v>
      </c>
      <c r="B719" s="1">
        <v>43.78</v>
      </c>
      <c r="C719" s="1">
        <v>57.73</v>
      </c>
    </row>
    <row r="720" spans="1:3">
      <c r="A720" s="2">
        <v>45196</v>
      </c>
      <c r="B720" s="1">
        <v>40.94</v>
      </c>
      <c r="C720" s="1">
        <v>54.86</v>
      </c>
    </row>
    <row r="721" spans="1:3">
      <c r="A721" s="2">
        <v>45197</v>
      </c>
      <c r="B721" s="1">
        <v>40.52</v>
      </c>
      <c r="C721" s="1">
        <v>54.38</v>
      </c>
    </row>
    <row r="722" spans="1:3">
      <c r="A722" s="2">
        <v>45208</v>
      </c>
      <c r="B722" s="1">
        <v>39.62</v>
      </c>
      <c r="C722" s="1">
        <v>53.69</v>
      </c>
    </row>
    <row r="723" spans="1:3">
      <c r="A723" s="2">
        <v>45209</v>
      </c>
      <c r="B723" s="1">
        <v>41.34</v>
      </c>
      <c r="C723" s="1">
        <v>55.47</v>
      </c>
    </row>
    <row r="724" spans="1:3">
      <c r="A724" s="2">
        <v>45210</v>
      </c>
      <c r="B724" s="1">
        <v>41.45</v>
      </c>
      <c r="C724" s="1">
        <v>55.51</v>
      </c>
    </row>
    <row r="725" spans="1:3">
      <c r="A725" s="2">
        <v>45211</v>
      </c>
      <c r="B725" s="1">
        <v>43.14</v>
      </c>
      <c r="C725" s="1">
        <v>57.06</v>
      </c>
    </row>
    <row r="726" spans="1:3">
      <c r="A726" s="2">
        <v>45212</v>
      </c>
      <c r="B726" s="1">
        <v>42.43</v>
      </c>
      <c r="C726" s="1">
        <v>56.76</v>
      </c>
    </row>
    <row r="727" spans="1:3">
      <c r="A727" s="2">
        <v>45215</v>
      </c>
      <c r="B727" s="1">
        <v>41.47</v>
      </c>
      <c r="C727" s="1">
        <v>55.37</v>
      </c>
    </row>
    <row r="728" spans="1:3">
      <c r="A728" s="2">
        <v>45216</v>
      </c>
      <c r="B728" s="1">
        <v>42.09</v>
      </c>
      <c r="C728" s="1">
        <v>56.53</v>
      </c>
    </row>
    <row r="729" spans="1:3">
      <c r="A729" s="2">
        <v>45217</v>
      </c>
      <c r="B729" s="1">
        <v>44.61</v>
      </c>
      <c r="C729" s="1">
        <v>57.89</v>
      </c>
    </row>
    <row r="730" spans="1:3">
      <c r="A730" s="2">
        <v>45218</v>
      </c>
      <c r="B730" s="1">
        <v>46.07</v>
      </c>
      <c r="C730" s="1">
        <v>59.5</v>
      </c>
    </row>
    <row r="731" spans="1:3">
      <c r="A731" s="2">
        <v>45219</v>
      </c>
      <c r="B731" s="1">
        <v>43.78</v>
      </c>
      <c r="C731" s="1">
        <v>57.61</v>
      </c>
    </row>
    <row r="732" spans="1:3">
      <c r="A732" s="2">
        <v>45222</v>
      </c>
      <c r="B732" s="1">
        <v>41.26</v>
      </c>
      <c r="C732" s="1">
        <v>54.79</v>
      </c>
    </row>
    <row r="733" spans="1:3">
      <c r="A733" s="2">
        <v>45223</v>
      </c>
      <c r="B733" s="1">
        <v>42.89</v>
      </c>
      <c r="C733" s="1">
        <v>56.29</v>
      </c>
    </row>
    <row r="734" spans="1:3">
      <c r="A734" s="2">
        <v>45224</v>
      </c>
      <c r="B734" s="1">
        <v>42.29</v>
      </c>
      <c r="C734" s="1">
        <v>56.29</v>
      </c>
    </row>
    <row r="735" spans="1:3">
      <c r="A735" s="2">
        <v>45225</v>
      </c>
      <c r="B735" s="1">
        <v>42.59</v>
      </c>
      <c r="C735" s="1">
        <v>56.91</v>
      </c>
    </row>
    <row r="736" spans="1:3">
      <c r="A736" s="2">
        <v>45226</v>
      </c>
      <c r="B736" s="1">
        <v>38.88</v>
      </c>
      <c r="C736" s="1">
        <v>52.85</v>
      </c>
    </row>
    <row r="737" spans="1:5">
      <c r="A737" s="2">
        <v>45229</v>
      </c>
      <c r="B737" s="1">
        <v>38.46</v>
      </c>
      <c r="C737" s="1">
        <v>52.11</v>
      </c>
    </row>
    <row r="738" spans="1:5">
      <c r="A738" s="2">
        <v>45230</v>
      </c>
      <c r="B738" s="1">
        <v>39.5</v>
      </c>
      <c r="C738" s="1">
        <v>53.03</v>
      </c>
    </row>
    <row r="739" spans="1:5">
      <c r="A739" s="2">
        <v>45231</v>
      </c>
      <c r="B739" s="1">
        <v>39.99</v>
      </c>
      <c r="C739" s="1">
        <v>53.38</v>
      </c>
    </row>
    <row r="740" spans="1:5">
      <c r="A740" s="2">
        <v>45232</v>
      </c>
      <c r="B740" s="1">
        <v>39.62</v>
      </c>
      <c r="C740" s="1">
        <v>53.8</v>
      </c>
    </row>
    <row r="741" spans="1:5">
      <c r="A741" s="2">
        <v>45233</v>
      </c>
      <c r="B741" s="1">
        <v>38.16</v>
      </c>
      <c r="C741" s="1">
        <v>52.19</v>
      </c>
    </row>
    <row r="742" spans="1:5">
      <c r="A742" s="2">
        <v>45236</v>
      </c>
      <c r="B742" s="1">
        <v>38.67</v>
      </c>
      <c r="C742" s="1">
        <v>53.25</v>
      </c>
    </row>
    <row r="743" spans="1:5">
      <c r="A743" s="2">
        <v>45237</v>
      </c>
      <c r="B743" s="1">
        <v>40.77</v>
      </c>
      <c r="C743" s="1">
        <v>55.1</v>
      </c>
    </row>
    <row r="744" spans="1:5">
      <c r="A744" s="2">
        <v>45238</v>
      </c>
      <c r="B744" s="1">
        <v>40.41</v>
      </c>
      <c r="C744" s="1">
        <v>55.19</v>
      </c>
    </row>
    <row r="745" spans="1:5">
      <c r="A745" s="2">
        <v>45239</v>
      </c>
      <c r="B745" s="1">
        <v>41.87</v>
      </c>
      <c r="C745" s="1">
        <v>56.09</v>
      </c>
    </row>
    <row r="746" spans="1:5">
      <c r="A746" s="2">
        <v>45240</v>
      </c>
      <c r="B746" s="1">
        <v>41.54</v>
      </c>
      <c r="C746" s="1">
        <v>55.66</v>
      </c>
    </row>
    <row r="747" spans="1:5">
      <c r="A747" s="2">
        <v>45243</v>
      </c>
      <c r="B747" s="1">
        <v>38.46</v>
      </c>
      <c r="C747" s="1">
        <v>52.69</v>
      </c>
    </row>
    <row r="748" spans="1:5">
      <c r="A748" s="2">
        <v>45244</v>
      </c>
      <c r="B748" s="1">
        <v>39.21</v>
      </c>
      <c r="C748" s="1">
        <v>53.84</v>
      </c>
    </row>
    <row r="749" spans="1:5">
      <c r="A749" s="2">
        <v>45245</v>
      </c>
      <c r="B749" s="1">
        <v>38.69</v>
      </c>
      <c r="C749" s="1">
        <v>53.5</v>
      </c>
    </row>
    <row r="750" spans="1:5">
      <c r="A750" s="2">
        <v>45246</v>
      </c>
      <c r="B750" s="1">
        <v>38.67</v>
      </c>
      <c r="C750" s="1">
        <v>53.4</v>
      </c>
    </row>
    <row r="751" spans="1:5">
      <c r="A751" s="2">
        <v>45247</v>
      </c>
      <c r="B751" s="1">
        <v>38.43</v>
      </c>
      <c r="C751" s="1">
        <v>53.17</v>
      </c>
      <c r="D751">
        <f t="shared" ref="D751:D814" si="0">PERCENTRANK(B2:B751,B751)</f>
        <v>0.228</v>
      </c>
      <c r="E751">
        <f t="shared" ref="E751:E814" si="1">PERCENTRANK(C2:C751,C751)</f>
        <v>0.255</v>
      </c>
    </row>
    <row r="752" spans="1:5">
      <c r="A752" s="2">
        <v>45250</v>
      </c>
      <c r="B752" s="1">
        <v>35.68</v>
      </c>
      <c r="C752" s="1">
        <v>50.23</v>
      </c>
      <c r="D752">
        <f t="shared" si="0"/>
        <v>0.03</v>
      </c>
      <c r="E752">
        <f t="shared" si="1"/>
        <v>0.029</v>
      </c>
    </row>
    <row r="753" spans="1:5">
      <c r="A753" s="2">
        <v>45251</v>
      </c>
      <c r="B753" s="1">
        <v>36.11</v>
      </c>
      <c r="C753" s="1">
        <v>50.55</v>
      </c>
      <c r="D753">
        <f t="shared" si="0"/>
        <v>0.052</v>
      </c>
      <c r="E753">
        <f t="shared" si="1"/>
        <v>0.045</v>
      </c>
    </row>
    <row r="754" spans="1:5">
      <c r="A754" s="2">
        <v>45252</v>
      </c>
      <c r="B754" s="1">
        <v>37.1</v>
      </c>
      <c r="C754" s="1">
        <v>51.37</v>
      </c>
      <c r="D754">
        <f t="shared" si="0"/>
        <v>0.1</v>
      </c>
      <c r="E754">
        <f t="shared" si="1"/>
        <v>0.088</v>
      </c>
    </row>
    <row r="755" spans="1:5">
      <c r="A755" s="2">
        <v>45253</v>
      </c>
      <c r="B755" s="1">
        <v>37.43</v>
      </c>
      <c r="C755" s="1">
        <v>51.31</v>
      </c>
      <c r="D755">
        <f t="shared" si="0"/>
        <v>0.125</v>
      </c>
      <c r="E755">
        <f t="shared" si="1"/>
        <v>0.084</v>
      </c>
    </row>
    <row r="756" spans="1:5">
      <c r="A756" s="2">
        <v>45254</v>
      </c>
      <c r="B756" s="1">
        <v>36.16</v>
      </c>
      <c r="C756" s="1">
        <v>49.97</v>
      </c>
      <c r="D756">
        <f t="shared" si="0"/>
        <v>0.053</v>
      </c>
      <c r="E756">
        <f t="shared" si="1"/>
        <v>0.022</v>
      </c>
    </row>
    <row r="757" spans="1:5">
      <c r="A757" s="2">
        <v>45257</v>
      </c>
      <c r="B757" s="1">
        <v>35.34</v>
      </c>
      <c r="C757" s="1">
        <v>49.27</v>
      </c>
      <c r="D757">
        <f t="shared" si="0"/>
        <v>0.02</v>
      </c>
      <c r="E757">
        <f t="shared" si="1"/>
        <v>0.012</v>
      </c>
    </row>
    <row r="758" spans="1:5">
      <c r="A758" s="2">
        <v>45258</v>
      </c>
      <c r="B758" s="1">
        <v>35.7</v>
      </c>
      <c r="C758" s="1">
        <v>49.05</v>
      </c>
      <c r="D758">
        <f t="shared" si="0"/>
        <v>0.034</v>
      </c>
      <c r="E758">
        <f t="shared" si="1"/>
        <v>0.006</v>
      </c>
    </row>
    <row r="759" spans="1:5">
      <c r="A759" s="2">
        <v>45259</v>
      </c>
      <c r="B759" s="1">
        <v>36.18</v>
      </c>
      <c r="C759" s="1">
        <v>50.22</v>
      </c>
      <c r="D759">
        <f t="shared" si="0"/>
        <v>0.057</v>
      </c>
      <c r="E759">
        <f t="shared" si="1"/>
        <v>0.033</v>
      </c>
    </row>
    <row r="760" spans="1:5">
      <c r="A760" s="2">
        <v>45260</v>
      </c>
      <c r="B760" s="1">
        <v>36.05</v>
      </c>
      <c r="C760" s="1">
        <v>50.1</v>
      </c>
      <c r="D760">
        <f t="shared" si="0"/>
        <v>0.053</v>
      </c>
      <c r="E760">
        <f t="shared" si="1"/>
        <v>0.03</v>
      </c>
    </row>
    <row r="761" spans="1:5">
      <c r="A761" s="2">
        <v>45261</v>
      </c>
      <c r="B761" s="1">
        <v>38.41</v>
      </c>
      <c r="C761" s="1">
        <v>52.16</v>
      </c>
      <c r="D761">
        <f t="shared" si="0"/>
        <v>0.24</v>
      </c>
      <c r="E761">
        <f t="shared" si="1"/>
        <v>0.156</v>
      </c>
    </row>
    <row r="762" spans="1:5">
      <c r="A762" s="2">
        <v>45264</v>
      </c>
      <c r="B762" s="1">
        <v>37.91</v>
      </c>
      <c r="C762" s="1">
        <v>51.84</v>
      </c>
      <c r="D762">
        <f t="shared" si="0"/>
        <v>0.18</v>
      </c>
      <c r="E762">
        <f t="shared" si="1"/>
        <v>0.122</v>
      </c>
    </row>
    <row r="763" spans="1:5">
      <c r="A763" s="2">
        <v>45265</v>
      </c>
      <c r="B763" s="1">
        <v>37.04</v>
      </c>
      <c r="C763" s="1">
        <v>51.13</v>
      </c>
      <c r="D763">
        <f t="shared" si="0"/>
        <v>0.098</v>
      </c>
      <c r="E763">
        <f t="shared" si="1"/>
        <v>0.076</v>
      </c>
    </row>
    <row r="764" spans="1:5">
      <c r="A764" s="2">
        <v>45266</v>
      </c>
      <c r="B764" s="1">
        <v>38.35</v>
      </c>
      <c r="C764" s="1">
        <v>52.37</v>
      </c>
      <c r="D764">
        <f t="shared" si="0"/>
        <v>0.237</v>
      </c>
      <c r="E764">
        <f t="shared" si="1"/>
        <v>0.18</v>
      </c>
    </row>
    <row r="765" spans="1:5">
      <c r="A765" s="2">
        <v>45267</v>
      </c>
      <c r="B765" s="1">
        <v>38.42</v>
      </c>
      <c r="C765" s="1">
        <v>52.52</v>
      </c>
      <c r="D765">
        <f t="shared" si="0"/>
        <v>0.245</v>
      </c>
      <c r="E765">
        <f t="shared" si="1"/>
        <v>0.197</v>
      </c>
    </row>
    <row r="766" spans="1:5">
      <c r="A766" s="2">
        <v>45268</v>
      </c>
      <c r="B766" s="1">
        <v>38.74</v>
      </c>
      <c r="C766" s="1">
        <v>52.46</v>
      </c>
      <c r="D766">
        <f t="shared" si="0"/>
        <v>0.277</v>
      </c>
      <c r="E766">
        <f t="shared" si="1"/>
        <v>0.193</v>
      </c>
    </row>
    <row r="767" spans="1:5">
      <c r="A767" s="2">
        <v>45271</v>
      </c>
      <c r="B767" s="1">
        <v>37.13</v>
      </c>
      <c r="C767" s="1">
        <v>50.76</v>
      </c>
      <c r="D767">
        <f t="shared" si="0"/>
        <v>0.11</v>
      </c>
      <c r="E767">
        <f t="shared" si="1"/>
        <v>0.056</v>
      </c>
    </row>
    <row r="768" spans="1:5">
      <c r="A768" s="2">
        <v>45272</v>
      </c>
      <c r="B768" s="1">
        <v>38.51</v>
      </c>
      <c r="C768" s="1">
        <v>52.96</v>
      </c>
      <c r="D768">
        <f t="shared" si="0"/>
        <v>0.26</v>
      </c>
      <c r="E768">
        <f t="shared" si="1"/>
        <v>0.259</v>
      </c>
    </row>
    <row r="769" spans="1:5">
      <c r="A769" s="2">
        <v>45273</v>
      </c>
      <c r="B769" s="1">
        <v>37.15</v>
      </c>
      <c r="C769" s="1">
        <v>51.3</v>
      </c>
      <c r="D769">
        <f t="shared" si="0"/>
        <v>0.112</v>
      </c>
      <c r="E769">
        <f t="shared" si="1"/>
        <v>0.093</v>
      </c>
    </row>
    <row r="770" spans="1:5">
      <c r="A770" s="2">
        <v>45274</v>
      </c>
      <c r="B770" s="1">
        <v>37.11</v>
      </c>
      <c r="C770" s="1">
        <v>51.14</v>
      </c>
      <c r="D770">
        <f t="shared" si="0"/>
        <v>0.109</v>
      </c>
      <c r="E770">
        <f t="shared" si="1"/>
        <v>0.081</v>
      </c>
    </row>
    <row r="771" spans="1:5">
      <c r="A771" s="2">
        <v>45275</v>
      </c>
      <c r="B771" s="1">
        <v>37.71</v>
      </c>
      <c r="C771" s="1">
        <v>51.83</v>
      </c>
      <c r="D771">
        <f t="shared" si="0"/>
        <v>0.161</v>
      </c>
      <c r="E771">
        <f t="shared" si="1"/>
        <v>0.126</v>
      </c>
    </row>
    <row r="772" spans="1:5">
      <c r="A772" s="2">
        <v>45278</v>
      </c>
      <c r="B772" s="1">
        <v>35.75</v>
      </c>
      <c r="C772" s="1">
        <v>49.26</v>
      </c>
      <c r="D772">
        <f t="shared" si="0"/>
        <v>0.036</v>
      </c>
      <c r="E772">
        <f t="shared" si="1"/>
        <v>0.012</v>
      </c>
    </row>
    <row r="773" spans="1:5">
      <c r="A773" s="2">
        <v>45279</v>
      </c>
      <c r="B773" s="1">
        <v>37.25</v>
      </c>
      <c r="C773" s="1">
        <v>51.19</v>
      </c>
      <c r="D773">
        <f t="shared" si="0"/>
        <v>0.118</v>
      </c>
      <c r="E773">
        <f t="shared" si="1"/>
        <v>0.088</v>
      </c>
    </row>
    <row r="774" spans="1:5">
      <c r="A774" s="2">
        <v>45280</v>
      </c>
      <c r="B774" s="1">
        <v>37.03</v>
      </c>
      <c r="C774" s="1">
        <v>50.85</v>
      </c>
      <c r="D774">
        <f t="shared" si="0"/>
        <v>0.098</v>
      </c>
      <c r="E774">
        <f t="shared" si="1"/>
        <v>0.06</v>
      </c>
    </row>
    <row r="775" spans="1:5">
      <c r="A775" s="2">
        <v>45281</v>
      </c>
      <c r="B775" s="1">
        <v>37.11</v>
      </c>
      <c r="C775" s="1">
        <v>50.55</v>
      </c>
      <c r="D775">
        <f t="shared" si="0"/>
        <v>0.112</v>
      </c>
      <c r="E775">
        <f t="shared" si="1"/>
        <v>0.053</v>
      </c>
    </row>
    <row r="776" spans="1:5">
      <c r="A776" s="2">
        <v>45282</v>
      </c>
      <c r="B776" s="1">
        <v>37.22</v>
      </c>
      <c r="C776" s="1">
        <v>51.66</v>
      </c>
      <c r="D776">
        <f t="shared" si="0"/>
        <v>0.12</v>
      </c>
      <c r="E776">
        <f t="shared" si="1"/>
        <v>0.124</v>
      </c>
    </row>
    <row r="777" spans="1:5">
      <c r="A777" s="2">
        <v>45285</v>
      </c>
      <c r="B777" s="1">
        <v>36.34</v>
      </c>
      <c r="C777" s="1">
        <v>50.71</v>
      </c>
      <c r="D777">
        <f t="shared" si="0"/>
        <v>0.065</v>
      </c>
      <c r="E777">
        <f t="shared" si="1"/>
        <v>0.058</v>
      </c>
    </row>
    <row r="778" spans="1:5">
      <c r="A778" s="2">
        <v>45286</v>
      </c>
      <c r="B778" s="1">
        <v>36.84</v>
      </c>
      <c r="C778" s="1">
        <v>51.23</v>
      </c>
      <c r="D778">
        <f t="shared" si="0"/>
        <v>0.084</v>
      </c>
      <c r="E778">
        <f t="shared" si="1"/>
        <v>0.097</v>
      </c>
    </row>
    <row r="779" spans="1:5">
      <c r="A779" s="2">
        <v>45287</v>
      </c>
      <c r="B779" s="1">
        <v>38.68</v>
      </c>
      <c r="C779" s="1">
        <v>52.74</v>
      </c>
      <c r="D779">
        <f t="shared" si="0"/>
        <v>0.283</v>
      </c>
      <c r="E779">
        <f t="shared" si="1"/>
        <v>0.242</v>
      </c>
    </row>
    <row r="780" spans="1:5">
      <c r="A780" s="2">
        <v>45288</v>
      </c>
      <c r="B780" s="1">
        <v>38.3</v>
      </c>
      <c r="C780" s="1">
        <v>52.28</v>
      </c>
      <c r="D780">
        <f t="shared" si="0"/>
        <v>0.248</v>
      </c>
      <c r="E780">
        <f t="shared" si="1"/>
        <v>0.185</v>
      </c>
    </row>
    <row r="781" spans="1:5">
      <c r="A781" s="2">
        <v>45289</v>
      </c>
      <c r="B781" s="1">
        <v>36.38</v>
      </c>
      <c r="C781" s="1">
        <v>50.33</v>
      </c>
      <c r="D781">
        <f t="shared" si="0"/>
        <v>0.07</v>
      </c>
      <c r="E781">
        <f t="shared" si="1"/>
        <v>0.044</v>
      </c>
    </row>
    <row r="782" spans="1:5">
      <c r="A782" s="2">
        <v>45293</v>
      </c>
      <c r="B782" s="1">
        <v>35.26</v>
      </c>
      <c r="C782" s="1">
        <v>48.86</v>
      </c>
      <c r="D782">
        <f t="shared" si="0"/>
        <v>0.02</v>
      </c>
      <c r="E782">
        <f t="shared" si="1"/>
        <v>0.004</v>
      </c>
    </row>
    <row r="783" spans="1:5">
      <c r="A783" s="2">
        <v>45294</v>
      </c>
      <c r="B783" s="1">
        <v>35.12</v>
      </c>
      <c r="C783" s="1">
        <v>49.43</v>
      </c>
      <c r="D783">
        <f t="shared" si="0"/>
        <v>0.016</v>
      </c>
      <c r="E783">
        <f t="shared" si="1"/>
        <v>0.017</v>
      </c>
    </row>
    <row r="784" spans="1:5">
      <c r="A784" s="2">
        <v>45295</v>
      </c>
      <c r="B784" s="1">
        <v>37.13</v>
      </c>
      <c r="C784" s="1">
        <v>51.4</v>
      </c>
      <c r="D784">
        <f t="shared" si="0"/>
        <v>0.122</v>
      </c>
      <c r="E784">
        <f t="shared" si="1"/>
        <v>0.116</v>
      </c>
    </row>
    <row r="785" spans="1:5">
      <c r="A785" s="2">
        <v>45296</v>
      </c>
      <c r="B785" s="1">
        <v>34.81</v>
      </c>
      <c r="C785" s="1">
        <v>49.36</v>
      </c>
      <c r="D785">
        <f t="shared" si="0"/>
        <v>0.008</v>
      </c>
      <c r="E785">
        <f t="shared" si="1"/>
        <v>0.017</v>
      </c>
    </row>
    <row r="786" spans="1:5">
      <c r="A786" s="2">
        <v>45299</v>
      </c>
      <c r="B786" s="1">
        <v>35.19</v>
      </c>
      <c r="C786" s="1">
        <v>49.26</v>
      </c>
      <c r="D786">
        <f t="shared" si="0"/>
        <v>0.02</v>
      </c>
      <c r="E786">
        <f t="shared" si="1"/>
        <v>0.013</v>
      </c>
    </row>
    <row r="787" spans="1:5">
      <c r="A787" s="2">
        <v>45300</v>
      </c>
      <c r="B787" s="1">
        <v>36.18</v>
      </c>
      <c r="C787" s="1">
        <v>50.28</v>
      </c>
      <c r="D787">
        <f t="shared" si="0"/>
        <v>0.065</v>
      </c>
      <c r="E787">
        <f t="shared" si="1"/>
        <v>0.045</v>
      </c>
    </row>
    <row r="788" spans="1:5">
      <c r="A788" s="2">
        <v>45301</v>
      </c>
      <c r="B788" s="1">
        <v>37.04</v>
      </c>
      <c r="C788" s="1">
        <v>51.16</v>
      </c>
      <c r="D788">
        <f t="shared" si="0"/>
        <v>0.112</v>
      </c>
      <c r="E788">
        <f t="shared" si="1"/>
        <v>0.097</v>
      </c>
    </row>
    <row r="789" spans="1:5">
      <c r="A789" s="2">
        <v>45302</v>
      </c>
      <c r="B789" s="1">
        <v>37.66</v>
      </c>
      <c r="C789" s="1">
        <v>51.69</v>
      </c>
      <c r="D789">
        <f t="shared" si="0"/>
        <v>0.174</v>
      </c>
      <c r="E789">
        <f t="shared" si="1"/>
        <v>0.14</v>
      </c>
    </row>
    <row r="790" spans="1:5">
      <c r="A790" s="2">
        <v>45303</v>
      </c>
      <c r="B790" s="1">
        <v>35.78</v>
      </c>
      <c r="C790" s="1">
        <v>50.01</v>
      </c>
      <c r="D790">
        <f t="shared" si="0"/>
        <v>0.045</v>
      </c>
      <c r="E790">
        <f t="shared" si="1"/>
        <v>0.037</v>
      </c>
    </row>
    <row r="791" spans="1:5">
      <c r="A791" s="2">
        <v>45306</v>
      </c>
      <c r="B791" s="1">
        <v>35.1</v>
      </c>
      <c r="C791" s="1">
        <v>49.55</v>
      </c>
      <c r="D791">
        <f t="shared" si="0"/>
        <v>0.016</v>
      </c>
      <c r="E791">
        <f t="shared" si="1"/>
        <v>0.022</v>
      </c>
    </row>
    <row r="792" spans="1:5">
      <c r="A792" s="2">
        <v>45307</v>
      </c>
      <c r="B792" s="1">
        <v>36.01</v>
      </c>
      <c r="C792" s="1">
        <v>50.13</v>
      </c>
      <c r="D792">
        <f t="shared" si="0"/>
        <v>0.058</v>
      </c>
      <c r="E792">
        <f t="shared" si="1"/>
        <v>0.042</v>
      </c>
    </row>
    <row r="793" spans="1:5">
      <c r="A793" s="2">
        <v>45308</v>
      </c>
      <c r="B793" s="1">
        <v>37.56</v>
      </c>
      <c r="C793" s="1">
        <v>51.32</v>
      </c>
      <c r="D793">
        <f t="shared" si="0"/>
        <v>0.173</v>
      </c>
      <c r="E793">
        <f t="shared" si="1"/>
        <v>0.12</v>
      </c>
    </row>
    <row r="794" spans="1:5">
      <c r="A794" s="2">
        <v>45309</v>
      </c>
      <c r="B794" s="1">
        <v>37.86</v>
      </c>
      <c r="C794" s="1">
        <v>50.78</v>
      </c>
      <c r="D794">
        <f t="shared" si="0"/>
        <v>0.208</v>
      </c>
      <c r="E794">
        <f t="shared" si="1"/>
        <v>0.074</v>
      </c>
    </row>
    <row r="795" spans="1:5">
      <c r="A795" s="2">
        <v>45310</v>
      </c>
      <c r="B795" s="1">
        <v>40.37</v>
      </c>
      <c r="C795" s="1">
        <v>53.98</v>
      </c>
      <c r="D795">
        <f t="shared" si="0"/>
        <v>0.485</v>
      </c>
      <c r="E795">
        <f t="shared" si="1"/>
        <v>0.388</v>
      </c>
    </row>
    <row r="796" spans="1:5">
      <c r="A796" s="2">
        <v>45313</v>
      </c>
      <c r="B796" s="1">
        <v>36.26</v>
      </c>
      <c r="C796" s="1">
        <v>49.11</v>
      </c>
      <c r="D796">
        <f t="shared" si="0"/>
        <v>0.074</v>
      </c>
      <c r="E796">
        <f t="shared" si="1"/>
        <v>0.009</v>
      </c>
    </row>
    <row r="797" spans="1:5">
      <c r="A797" s="2">
        <v>45314</v>
      </c>
      <c r="B797" s="1">
        <v>38.33</v>
      </c>
      <c r="C797" s="1">
        <v>51.17</v>
      </c>
      <c r="D797">
        <f t="shared" si="0"/>
        <v>0.271</v>
      </c>
      <c r="E797">
        <f t="shared" si="1"/>
        <v>0.106</v>
      </c>
    </row>
    <row r="798" spans="1:5">
      <c r="A798" s="2">
        <v>45315</v>
      </c>
      <c r="B798" s="1">
        <v>38.08</v>
      </c>
      <c r="C798" s="1">
        <v>51.57</v>
      </c>
      <c r="D798">
        <f t="shared" si="0"/>
        <v>0.24</v>
      </c>
      <c r="E798">
        <f t="shared" si="1"/>
        <v>0.14</v>
      </c>
    </row>
    <row r="799" spans="1:5">
      <c r="A799" s="2">
        <v>45316</v>
      </c>
      <c r="B799" s="1">
        <v>38.8</v>
      </c>
      <c r="C799" s="1">
        <v>52.41</v>
      </c>
      <c r="D799">
        <f t="shared" si="0"/>
        <v>0.328</v>
      </c>
      <c r="E799">
        <f t="shared" si="1"/>
        <v>0.224</v>
      </c>
    </row>
    <row r="800" spans="1:5">
      <c r="A800" s="2">
        <v>45317</v>
      </c>
      <c r="B800" s="1">
        <v>38.54</v>
      </c>
      <c r="C800" s="1">
        <v>52.49</v>
      </c>
      <c r="D800">
        <f t="shared" si="0"/>
        <v>0.299</v>
      </c>
      <c r="E800">
        <f t="shared" si="1"/>
        <v>0.234</v>
      </c>
    </row>
    <row r="801" spans="1:5">
      <c r="A801" s="2">
        <v>45320</v>
      </c>
      <c r="B801" s="1">
        <v>39.44</v>
      </c>
      <c r="C801" s="1">
        <v>53.54</v>
      </c>
      <c r="D801">
        <f t="shared" si="0"/>
        <v>0.399</v>
      </c>
      <c r="E801">
        <f t="shared" si="1"/>
        <v>0.351</v>
      </c>
    </row>
    <row r="802" spans="1:5">
      <c r="A802" s="2">
        <v>45321</v>
      </c>
      <c r="B802" s="1">
        <v>37.9</v>
      </c>
      <c r="C802" s="1">
        <v>51.63</v>
      </c>
      <c r="D802">
        <f t="shared" si="0"/>
        <v>0.214</v>
      </c>
      <c r="E802">
        <f t="shared" si="1"/>
        <v>0.145</v>
      </c>
    </row>
    <row r="803" spans="1:5">
      <c r="A803" s="2">
        <v>45322</v>
      </c>
      <c r="B803" s="1">
        <v>35.38</v>
      </c>
      <c r="C803" s="1">
        <v>48.42</v>
      </c>
      <c r="D803">
        <f t="shared" si="0"/>
        <v>0.028</v>
      </c>
      <c r="E803">
        <f t="shared" si="1"/>
        <v>0.001</v>
      </c>
    </row>
    <row r="804" spans="1:5">
      <c r="A804" s="2">
        <v>45323</v>
      </c>
      <c r="B804" s="1">
        <v>36.79</v>
      </c>
      <c r="C804" s="1">
        <v>49.63</v>
      </c>
      <c r="D804">
        <f t="shared" si="0"/>
        <v>0.097</v>
      </c>
      <c r="E804">
        <f t="shared" si="1"/>
        <v>0.028</v>
      </c>
    </row>
    <row r="805" spans="1:5">
      <c r="A805" s="2">
        <v>45324</v>
      </c>
      <c r="B805" s="1">
        <v>35.41</v>
      </c>
      <c r="C805" s="1">
        <v>48.47</v>
      </c>
      <c r="D805">
        <f t="shared" si="0"/>
        <v>0.03</v>
      </c>
      <c r="E805">
        <f t="shared" si="1"/>
        <v>0.002</v>
      </c>
    </row>
    <row r="806" spans="1:5">
      <c r="A806" s="2">
        <v>45327</v>
      </c>
      <c r="B806" s="1">
        <v>36.1</v>
      </c>
      <c r="C806" s="1">
        <v>48.22</v>
      </c>
      <c r="D806">
        <f t="shared" si="0"/>
        <v>0.069</v>
      </c>
      <c r="E806">
        <f t="shared" si="1"/>
        <v>0.001</v>
      </c>
    </row>
    <row r="807" spans="1:5">
      <c r="A807" s="2">
        <v>45328</v>
      </c>
      <c r="B807" s="1">
        <v>35.12</v>
      </c>
      <c r="C807" s="1">
        <v>47.55</v>
      </c>
      <c r="D807">
        <f t="shared" si="0"/>
        <v>0.018</v>
      </c>
      <c r="E807">
        <f t="shared" si="1"/>
        <v>0</v>
      </c>
    </row>
    <row r="808" spans="1:5">
      <c r="A808" s="2">
        <v>45329</v>
      </c>
      <c r="B808" s="1">
        <v>33.91</v>
      </c>
      <c r="C808" s="1">
        <v>47.22</v>
      </c>
      <c r="D808">
        <f t="shared" si="0"/>
        <v>0</v>
      </c>
      <c r="E808">
        <f t="shared" si="1"/>
        <v>0</v>
      </c>
    </row>
    <row r="809" spans="1:5">
      <c r="A809" s="2">
        <v>45330</v>
      </c>
      <c r="B809" s="1">
        <v>31.68</v>
      </c>
      <c r="C809" s="1">
        <v>44.81</v>
      </c>
      <c r="D809">
        <f t="shared" si="0"/>
        <v>0</v>
      </c>
      <c r="E809">
        <f t="shared" si="1"/>
        <v>0</v>
      </c>
    </row>
    <row r="810" spans="1:5">
      <c r="A810" s="2">
        <v>45341</v>
      </c>
      <c r="B810" s="1">
        <v>34.99</v>
      </c>
      <c r="C810" s="1">
        <v>47.65</v>
      </c>
      <c r="D810">
        <f t="shared" si="0"/>
        <v>0.017</v>
      </c>
      <c r="E810">
        <f t="shared" si="1"/>
        <v>0.004</v>
      </c>
    </row>
    <row r="811" spans="1:5">
      <c r="A811" s="2">
        <v>45342</v>
      </c>
      <c r="B811" s="1">
        <v>39.11</v>
      </c>
      <c r="C811" s="1">
        <v>52.47</v>
      </c>
      <c r="D811">
        <f t="shared" si="0"/>
        <v>0.381</v>
      </c>
      <c r="E811">
        <f t="shared" si="1"/>
        <v>0.246</v>
      </c>
    </row>
    <row r="812" spans="1:5">
      <c r="A812" s="2">
        <v>45343</v>
      </c>
      <c r="B812" s="1">
        <v>38.37</v>
      </c>
      <c r="C812" s="1">
        <v>51.6</v>
      </c>
      <c r="D812">
        <f t="shared" si="0"/>
        <v>0.291</v>
      </c>
      <c r="E812">
        <f t="shared" si="1"/>
        <v>0.152</v>
      </c>
    </row>
    <row r="813" spans="1:5">
      <c r="A813" s="2">
        <v>45344</v>
      </c>
      <c r="B813" s="1">
        <v>38.74</v>
      </c>
      <c r="C813" s="1">
        <v>52.1</v>
      </c>
      <c r="D813">
        <f t="shared" si="0"/>
        <v>0.333</v>
      </c>
      <c r="E813">
        <f t="shared" si="1"/>
        <v>0.204</v>
      </c>
    </row>
    <row r="814" spans="1:5">
      <c r="A814" s="2">
        <v>45345</v>
      </c>
      <c r="B814" s="1">
        <v>37.44</v>
      </c>
      <c r="C814" s="1">
        <v>50.75</v>
      </c>
      <c r="D814">
        <f t="shared" si="0"/>
        <v>0.176</v>
      </c>
      <c r="E814">
        <f t="shared" si="1"/>
        <v>0.084</v>
      </c>
    </row>
    <row r="815" spans="1:5">
      <c r="A815" s="2">
        <v>45348</v>
      </c>
      <c r="B815" s="1">
        <v>34.97</v>
      </c>
      <c r="C815" s="1">
        <v>48.15</v>
      </c>
      <c r="D815">
        <f t="shared" ref="D815:D878" si="2">PERCENTRANK(B66:B815,B815)</f>
        <v>0.016</v>
      </c>
      <c r="E815">
        <f t="shared" ref="E815:E878" si="3">PERCENTRANK(C66:C815,C815)</f>
        <v>0.006</v>
      </c>
    </row>
    <row r="816" spans="1:5">
      <c r="A816" s="2">
        <v>45349</v>
      </c>
      <c r="B816" s="1">
        <v>38.08</v>
      </c>
      <c r="C816" s="1">
        <v>51.43</v>
      </c>
      <c r="D816">
        <f t="shared" si="2"/>
        <v>0.255</v>
      </c>
      <c r="E816">
        <f t="shared" si="3"/>
        <v>0.149</v>
      </c>
    </row>
    <row r="817" spans="1:5">
      <c r="A817" s="2">
        <v>45350</v>
      </c>
      <c r="B817" s="1">
        <v>34.99</v>
      </c>
      <c r="C817" s="1">
        <v>47.81</v>
      </c>
      <c r="D817">
        <f t="shared" si="2"/>
        <v>0.018</v>
      </c>
      <c r="E817">
        <f t="shared" si="3"/>
        <v>0.005</v>
      </c>
    </row>
    <row r="818" spans="1:5">
      <c r="A818" s="2">
        <v>45351</v>
      </c>
      <c r="B818" s="1">
        <v>37.78</v>
      </c>
      <c r="C818" s="1">
        <v>50.93</v>
      </c>
      <c r="D818">
        <f t="shared" si="2"/>
        <v>0.214</v>
      </c>
      <c r="E818">
        <f t="shared" si="3"/>
        <v>0.1</v>
      </c>
    </row>
    <row r="819" spans="1:5">
      <c r="A819" s="2">
        <v>45352</v>
      </c>
      <c r="B819" s="1">
        <v>40.31</v>
      </c>
      <c r="C819" s="1">
        <v>53.84</v>
      </c>
      <c r="D819">
        <f t="shared" si="2"/>
        <v>0.512</v>
      </c>
      <c r="E819">
        <f t="shared" si="3"/>
        <v>0.397</v>
      </c>
    </row>
    <row r="820" spans="1:5">
      <c r="A820" s="2">
        <v>45355</v>
      </c>
      <c r="B820" s="1">
        <v>41.36</v>
      </c>
      <c r="C820" s="1">
        <v>55.08</v>
      </c>
      <c r="D820">
        <f t="shared" si="2"/>
        <v>0.596</v>
      </c>
      <c r="E820">
        <f t="shared" si="3"/>
        <v>0.523</v>
      </c>
    </row>
    <row r="821" spans="1:5">
      <c r="A821" s="2">
        <v>45356</v>
      </c>
      <c r="B821" s="1">
        <v>43.48</v>
      </c>
      <c r="C821" s="1">
        <v>57.03</v>
      </c>
      <c r="D821">
        <f t="shared" si="2"/>
        <v>0.739</v>
      </c>
      <c r="E821">
        <f t="shared" si="3"/>
        <v>0.676</v>
      </c>
    </row>
    <row r="822" spans="1:5">
      <c r="A822" s="2">
        <v>45357</v>
      </c>
      <c r="B822" s="1">
        <v>40.74</v>
      </c>
      <c r="C822" s="1">
        <v>54.68</v>
      </c>
      <c r="D822">
        <f t="shared" si="2"/>
        <v>0.539</v>
      </c>
      <c r="E822">
        <f t="shared" si="3"/>
        <v>0.493</v>
      </c>
    </row>
    <row r="823" spans="1:5">
      <c r="A823" s="2">
        <v>45358</v>
      </c>
      <c r="B823" s="1">
        <v>38.99</v>
      </c>
      <c r="C823" s="1">
        <v>52.71</v>
      </c>
      <c r="D823">
        <f t="shared" si="2"/>
        <v>0.372</v>
      </c>
      <c r="E823">
        <f t="shared" si="3"/>
        <v>0.288</v>
      </c>
    </row>
    <row r="824" spans="1:5">
      <c r="A824" s="2">
        <v>45359</v>
      </c>
      <c r="B824" s="1">
        <v>40.99</v>
      </c>
      <c r="C824" s="1">
        <v>54.77</v>
      </c>
      <c r="D824">
        <f t="shared" si="2"/>
        <v>0.568</v>
      </c>
      <c r="E824">
        <f t="shared" si="3"/>
        <v>0.502</v>
      </c>
    </row>
    <row r="825" spans="1:5">
      <c r="A825" s="2">
        <v>45362</v>
      </c>
      <c r="B825" s="1">
        <v>41.47</v>
      </c>
      <c r="C825" s="1">
        <v>54.81</v>
      </c>
      <c r="D825">
        <f t="shared" si="2"/>
        <v>0.607</v>
      </c>
      <c r="E825">
        <f t="shared" si="3"/>
        <v>0.507</v>
      </c>
    </row>
    <row r="826" spans="1:5">
      <c r="A826" s="2">
        <v>45363</v>
      </c>
      <c r="B826" s="1">
        <v>41.14</v>
      </c>
      <c r="C826" s="1">
        <v>54.72</v>
      </c>
      <c r="D826">
        <f t="shared" si="2"/>
        <v>0.583</v>
      </c>
      <c r="E826">
        <f t="shared" si="3"/>
        <v>0.499</v>
      </c>
    </row>
    <row r="827" spans="1:5">
      <c r="A827" s="2">
        <v>45364</v>
      </c>
      <c r="B827" s="1">
        <v>39.9</v>
      </c>
      <c r="C827" s="1">
        <v>53.76</v>
      </c>
      <c r="D827">
        <f t="shared" si="2"/>
        <v>0.467</v>
      </c>
      <c r="E827">
        <f t="shared" si="3"/>
        <v>0.389</v>
      </c>
    </row>
    <row r="828" spans="1:5">
      <c r="A828" s="2">
        <v>45365</v>
      </c>
      <c r="B828" s="1">
        <v>40.18</v>
      </c>
      <c r="C828" s="1">
        <v>53.56</v>
      </c>
      <c r="D828">
        <f t="shared" si="2"/>
        <v>0.502</v>
      </c>
      <c r="E828">
        <f t="shared" si="3"/>
        <v>0.377</v>
      </c>
    </row>
    <row r="829" spans="1:5">
      <c r="A829" s="2">
        <v>45366</v>
      </c>
      <c r="B829" s="1">
        <v>40.37</v>
      </c>
      <c r="C829" s="1">
        <v>53.83</v>
      </c>
      <c r="D829">
        <f t="shared" si="2"/>
        <v>0.522</v>
      </c>
      <c r="E829">
        <f t="shared" si="3"/>
        <v>0.399</v>
      </c>
    </row>
    <row r="830" spans="1:5">
      <c r="A830" s="2">
        <v>45369</v>
      </c>
      <c r="B830" s="1">
        <v>39.39</v>
      </c>
      <c r="C830" s="1">
        <v>52.71</v>
      </c>
      <c r="D830">
        <f t="shared" si="2"/>
        <v>0.423</v>
      </c>
      <c r="E830">
        <f t="shared" si="3"/>
        <v>0.288</v>
      </c>
    </row>
    <row r="831" spans="1:5">
      <c r="A831" s="2">
        <v>45370</v>
      </c>
      <c r="B831" s="1">
        <v>39.27</v>
      </c>
      <c r="C831" s="1">
        <v>52.9</v>
      </c>
      <c r="D831">
        <f t="shared" si="2"/>
        <v>0.411</v>
      </c>
      <c r="E831">
        <f t="shared" si="3"/>
        <v>0.32</v>
      </c>
    </row>
    <row r="832" spans="1:5">
      <c r="A832" s="2">
        <v>45371</v>
      </c>
      <c r="B832" s="1">
        <v>38.51</v>
      </c>
      <c r="C832" s="1">
        <v>52.65</v>
      </c>
      <c r="D832">
        <f t="shared" si="2"/>
        <v>0.317</v>
      </c>
      <c r="E832">
        <f t="shared" si="3"/>
        <v>0.28</v>
      </c>
    </row>
    <row r="833" spans="1:5">
      <c r="A833" s="2">
        <v>45372</v>
      </c>
      <c r="B833" s="1">
        <v>37.92</v>
      </c>
      <c r="C833" s="1">
        <v>52</v>
      </c>
      <c r="D833">
        <f t="shared" si="2"/>
        <v>0.234</v>
      </c>
      <c r="E833">
        <f t="shared" si="3"/>
        <v>0.197</v>
      </c>
    </row>
    <row r="834" spans="1:5">
      <c r="A834" s="2">
        <v>45373</v>
      </c>
      <c r="B834" s="1">
        <v>38.49</v>
      </c>
      <c r="C834" s="1">
        <v>52.68</v>
      </c>
      <c r="D834">
        <f t="shared" si="2"/>
        <v>0.315</v>
      </c>
      <c r="E834">
        <f t="shared" si="3"/>
        <v>0.284</v>
      </c>
    </row>
    <row r="835" spans="1:5">
      <c r="A835" s="2">
        <v>45376</v>
      </c>
      <c r="B835" s="1">
        <v>38.56</v>
      </c>
      <c r="C835" s="1">
        <v>52.77</v>
      </c>
      <c r="D835">
        <f t="shared" si="2"/>
        <v>0.325</v>
      </c>
      <c r="E835">
        <f t="shared" si="3"/>
        <v>0.3</v>
      </c>
    </row>
    <row r="836" spans="1:5">
      <c r="A836" s="2">
        <v>45377</v>
      </c>
      <c r="B836" s="1">
        <v>40.11</v>
      </c>
      <c r="C836" s="1">
        <v>53.88</v>
      </c>
      <c r="D836">
        <f t="shared" si="2"/>
        <v>0.507</v>
      </c>
      <c r="E836">
        <f t="shared" si="3"/>
        <v>0.419</v>
      </c>
    </row>
    <row r="837" spans="1:5">
      <c r="A837" s="2">
        <v>45378</v>
      </c>
      <c r="B837" s="1">
        <v>38.12</v>
      </c>
      <c r="C837" s="1">
        <v>51.76</v>
      </c>
      <c r="D837">
        <f t="shared" si="2"/>
        <v>0.264</v>
      </c>
      <c r="E837">
        <f t="shared" si="3"/>
        <v>0.176</v>
      </c>
    </row>
    <row r="838" spans="1:5">
      <c r="A838" s="2">
        <v>45379</v>
      </c>
      <c r="B838" s="1">
        <v>39.6</v>
      </c>
      <c r="C838" s="1">
        <v>53.04</v>
      </c>
      <c r="D838">
        <f t="shared" si="2"/>
        <v>0.449</v>
      </c>
      <c r="E838">
        <f t="shared" si="3"/>
        <v>0.34</v>
      </c>
    </row>
    <row r="839" spans="1:5">
      <c r="A839" s="2">
        <v>45380</v>
      </c>
      <c r="B839" s="1">
        <v>38.44</v>
      </c>
      <c r="C839" s="1">
        <v>52.53</v>
      </c>
      <c r="D839">
        <f t="shared" si="2"/>
        <v>0.309</v>
      </c>
      <c r="E839">
        <f t="shared" si="3"/>
        <v>0.268</v>
      </c>
    </row>
    <row r="840" spans="1:5">
      <c r="A840" s="2">
        <v>45383</v>
      </c>
      <c r="B840" s="1">
        <v>38.03</v>
      </c>
      <c r="C840" s="1">
        <v>51.33</v>
      </c>
      <c r="D840">
        <f t="shared" si="2"/>
        <v>0.249</v>
      </c>
      <c r="E840">
        <f t="shared" si="3"/>
        <v>0.142</v>
      </c>
    </row>
    <row r="841" spans="1:5">
      <c r="A841" s="2">
        <v>45384</v>
      </c>
      <c r="B841" s="1">
        <v>36.99</v>
      </c>
      <c r="C841" s="1">
        <v>50.74</v>
      </c>
      <c r="D841">
        <f t="shared" si="2"/>
        <v>0.126</v>
      </c>
      <c r="E841">
        <f t="shared" si="3"/>
        <v>0.086</v>
      </c>
    </row>
    <row r="842" spans="1:5">
      <c r="A842" s="2">
        <v>45385</v>
      </c>
      <c r="B842" s="1">
        <v>37.55</v>
      </c>
      <c r="C842" s="1">
        <v>51.72</v>
      </c>
      <c r="D842">
        <f t="shared" si="2"/>
        <v>0.189</v>
      </c>
      <c r="E842">
        <f t="shared" si="3"/>
        <v>0.176</v>
      </c>
    </row>
    <row r="843" spans="1:5">
      <c r="A843" s="2">
        <v>45390</v>
      </c>
      <c r="B843" s="1">
        <v>38.15</v>
      </c>
      <c r="C843" s="1">
        <v>52.17</v>
      </c>
      <c r="D843">
        <f t="shared" si="2"/>
        <v>0.275</v>
      </c>
      <c r="E843">
        <f t="shared" si="3"/>
        <v>0.226</v>
      </c>
    </row>
    <row r="844" spans="1:5">
      <c r="A844" s="2">
        <v>45391</v>
      </c>
      <c r="B844" s="1">
        <v>37.83</v>
      </c>
      <c r="C844" s="1">
        <v>52.11</v>
      </c>
      <c r="D844">
        <f t="shared" si="2"/>
        <v>0.224</v>
      </c>
      <c r="E844">
        <f t="shared" si="3"/>
        <v>0.218</v>
      </c>
    </row>
    <row r="845" spans="1:5">
      <c r="A845" s="2">
        <v>45392</v>
      </c>
      <c r="B845" s="1">
        <v>36.71</v>
      </c>
      <c r="C845" s="1">
        <v>50.7</v>
      </c>
      <c r="D845">
        <f t="shared" si="2"/>
        <v>0.106</v>
      </c>
      <c r="E845">
        <f t="shared" si="3"/>
        <v>0.085</v>
      </c>
    </row>
    <row r="846" spans="1:5">
      <c r="A846" s="2">
        <v>45393</v>
      </c>
      <c r="B846" s="1">
        <v>38.42</v>
      </c>
      <c r="C846" s="1">
        <v>52.58</v>
      </c>
      <c r="D846">
        <f t="shared" si="2"/>
        <v>0.315</v>
      </c>
      <c r="E846">
        <f t="shared" si="3"/>
        <v>0.28</v>
      </c>
    </row>
    <row r="847" spans="1:5">
      <c r="A847" s="2">
        <v>45394</v>
      </c>
      <c r="B847" s="1">
        <v>38.81</v>
      </c>
      <c r="C847" s="1">
        <v>52.97</v>
      </c>
      <c r="D847">
        <f t="shared" si="2"/>
        <v>0.369</v>
      </c>
      <c r="E847">
        <f t="shared" si="3"/>
        <v>0.345</v>
      </c>
    </row>
    <row r="848" spans="1:5">
      <c r="A848" s="2">
        <v>45397</v>
      </c>
      <c r="B848" s="1">
        <v>35.33</v>
      </c>
      <c r="C848" s="1">
        <v>48.43</v>
      </c>
      <c r="D848">
        <f t="shared" si="2"/>
        <v>0.034</v>
      </c>
      <c r="E848">
        <f t="shared" si="3"/>
        <v>0.012</v>
      </c>
    </row>
    <row r="849" spans="1:5">
      <c r="A849" s="2">
        <v>45398</v>
      </c>
      <c r="B849" s="1">
        <v>35.77</v>
      </c>
      <c r="C849" s="1">
        <v>48.96</v>
      </c>
      <c r="D849">
        <f t="shared" si="2"/>
        <v>0.057</v>
      </c>
      <c r="E849">
        <f t="shared" si="3"/>
        <v>0.021</v>
      </c>
    </row>
    <row r="850" spans="1:5">
      <c r="A850" s="2">
        <v>45399</v>
      </c>
      <c r="B850" s="1">
        <v>36.51</v>
      </c>
      <c r="C850" s="1">
        <v>49.7</v>
      </c>
      <c r="D850">
        <f t="shared" si="2"/>
        <v>0.105</v>
      </c>
      <c r="E850">
        <f t="shared" si="3"/>
        <v>0.044</v>
      </c>
    </row>
    <row r="851" spans="1:5">
      <c r="A851" s="2">
        <v>45400</v>
      </c>
      <c r="B851" s="1">
        <v>39.5</v>
      </c>
      <c r="C851" s="1">
        <v>53.46</v>
      </c>
      <c r="D851">
        <f t="shared" si="2"/>
        <v>0.453</v>
      </c>
      <c r="E851">
        <f t="shared" si="3"/>
        <v>0.399</v>
      </c>
    </row>
    <row r="852" spans="1:5">
      <c r="A852" s="2">
        <v>45401</v>
      </c>
      <c r="B852" s="1">
        <v>40</v>
      </c>
      <c r="C852" s="1">
        <v>54.38</v>
      </c>
      <c r="D852">
        <f t="shared" si="2"/>
        <v>0.514</v>
      </c>
      <c r="E852">
        <f t="shared" si="3"/>
        <v>0.496</v>
      </c>
    </row>
    <row r="853" spans="1:5">
      <c r="A853" s="2">
        <v>45404</v>
      </c>
      <c r="B853" s="1">
        <v>39.33</v>
      </c>
      <c r="C853" s="1">
        <v>53.6</v>
      </c>
      <c r="D853">
        <f t="shared" si="2"/>
        <v>0.441</v>
      </c>
      <c r="E853">
        <f t="shared" si="3"/>
        <v>0.409</v>
      </c>
    </row>
    <row r="854" spans="1:5">
      <c r="A854" s="2">
        <v>45405</v>
      </c>
      <c r="B854" s="1">
        <v>39.08</v>
      </c>
      <c r="C854" s="1">
        <v>53.4</v>
      </c>
      <c r="D854">
        <f t="shared" si="2"/>
        <v>0.409</v>
      </c>
      <c r="E854">
        <f t="shared" si="3"/>
        <v>0.396</v>
      </c>
    </row>
    <row r="855" spans="1:5">
      <c r="A855" s="2">
        <v>45406</v>
      </c>
      <c r="B855" s="1">
        <v>38.83</v>
      </c>
      <c r="C855" s="1">
        <v>52.67</v>
      </c>
      <c r="D855">
        <f t="shared" si="2"/>
        <v>0.379</v>
      </c>
      <c r="E855">
        <f t="shared" si="3"/>
        <v>0.299</v>
      </c>
    </row>
    <row r="856" spans="1:5">
      <c r="A856" s="2">
        <v>45407</v>
      </c>
      <c r="B856" s="1">
        <v>37.78</v>
      </c>
      <c r="C856" s="1">
        <v>51.73</v>
      </c>
      <c r="D856">
        <f t="shared" si="2"/>
        <v>0.222</v>
      </c>
      <c r="E856">
        <f t="shared" si="3"/>
        <v>0.182</v>
      </c>
    </row>
    <row r="857" spans="1:5">
      <c r="A857" s="2">
        <v>45408</v>
      </c>
      <c r="B857" s="1">
        <v>40.33</v>
      </c>
      <c r="C857" s="1">
        <v>54.21</v>
      </c>
      <c r="D857">
        <f t="shared" si="2"/>
        <v>0.554</v>
      </c>
      <c r="E857">
        <f t="shared" si="3"/>
        <v>0.48</v>
      </c>
    </row>
    <row r="858" spans="1:5">
      <c r="A858" s="2">
        <v>45411</v>
      </c>
      <c r="B858" s="1">
        <v>38.78</v>
      </c>
      <c r="C858" s="1">
        <v>52.77</v>
      </c>
      <c r="D858">
        <f t="shared" si="2"/>
        <v>0.372</v>
      </c>
      <c r="E858">
        <f t="shared" si="3"/>
        <v>0.319</v>
      </c>
    </row>
    <row r="859" spans="1:5">
      <c r="A859" s="2">
        <v>45412</v>
      </c>
      <c r="B859" s="1">
        <v>37.56</v>
      </c>
      <c r="C859" s="1">
        <v>51.9</v>
      </c>
      <c r="D859">
        <f t="shared" si="2"/>
        <v>0.197</v>
      </c>
      <c r="E859">
        <f t="shared" si="3"/>
        <v>0.2</v>
      </c>
    </row>
    <row r="860" spans="1:5">
      <c r="A860" s="2">
        <v>45418</v>
      </c>
      <c r="B860" s="1">
        <v>38.07</v>
      </c>
      <c r="C860" s="1">
        <v>51.96</v>
      </c>
      <c r="D860">
        <f t="shared" si="2"/>
        <v>0.268</v>
      </c>
      <c r="E860">
        <f t="shared" si="3"/>
        <v>0.209</v>
      </c>
    </row>
    <row r="861" spans="1:5">
      <c r="A861" s="2">
        <v>45419</v>
      </c>
      <c r="B861" s="1">
        <v>37.14</v>
      </c>
      <c r="C861" s="1">
        <v>51.24</v>
      </c>
      <c r="D861">
        <f t="shared" si="2"/>
        <v>0.156</v>
      </c>
      <c r="E861">
        <f t="shared" si="3"/>
        <v>0.138</v>
      </c>
    </row>
    <row r="862" spans="1:5">
      <c r="A862" s="2">
        <v>45420</v>
      </c>
      <c r="B862" s="1">
        <v>34.89</v>
      </c>
      <c r="C862" s="1">
        <v>49.15</v>
      </c>
      <c r="D862">
        <f t="shared" si="2"/>
        <v>0.014</v>
      </c>
      <c r="E862">
        <f t="shared" si="3"/>
        <v>0.026</v>
      </c>
    </row>
    <row r="863" spans="1:5">
      <c r="A863" s="2">
        <v>45421</v>
      </c>
      <c r="B863" s="1">
        <v>35.89</v>
      </c>
      <c r="C863" s="1">
        <v>50.65</v>
      </c>
      <c r="D863">
        <f t="shared" si="2"/>
        <v>0.069</v>
      </c>
      <c r="E863">
        <f t="shared" si="3"/>
        <v>0.089</v>
      </c>
    </row>
    <row r="864" spans="1:5">
      <c r="A864" s="2">
        <v>45422</v>
      </c>
      <c r="B864" s="1">
        <v>35.96</v>
      </c>
      <c r="C864" s="1">
        <v>50.69</v>
      </c>
      <c r="D864">
        <f t="shared" si="2"/>
        <v>0.073</v>
      </c>
      <c r="E864">
        <f t="shared" si="3"/>
        <v>0.092</v>
      </c>
    </row>
    <row r="865" spans="1:5">
      <c r="A865" s="2">
        <v>45425</v>
      </c>
      <c r="B865" s="1">
        <v>36.24</v>
      </c>
      <c r="C865" s="1">
        <v>50.84</v>
      </c>
      <c r="D865">
        <f t="shared" si="2"/>
        <v>0.092</v>
      </c>
      <c r="E865">
        <f t="shared" si="3"/>
        <v>0.102</v>
      </c>
    </row>
    <row r="866" spans="1:5">
      <c r="A866" s="2">
        <v>45426</v>
      </c>
      <c r="B866" s="1">
        <v>37.04</v>
      </c>
      <c r="C866" s="1">
        <v>51.62</v>
      </c>
      <c r="D866">
        <f t="shared" si="2"/>
        <v>0.142</v>
      </c>
      <c r="E866">
        <f t="shared" si="3"/>
        <v>0.176</v>
      </c>
    </row>
    <row r="867" spans="1:5">
      <c r="A867" s="2">
        <v>45427</v>
      </c>
      <c r="B867" s="1">
        <v>38.05</v>
      </c>
      <c r="C867" s="1">
        <v>52.36</v>
      </c>
      <c r="D867">
        <f t="shared" si="2"/>
        <v>0.273</v>
      </c>
      <c r="E867">
        <f t="shared" si="3"/>
        <v>0.264</v>
      </c>
    </row>
    <row r="868" spans="1:5">
      <c r="A868" s="2">
        <v>45428</v>
      </c>
      <c r="B868" s="1">
        <v>39.71</v>
      </c>
      <c r="C868" s="1">
        <v>53.61</v>
      </c>
      <c r="D868">
        <f t="shared" si="2"/>
        <v>0.5</v>
      </c>
      <c r="E868">
        <f t="shared" si="3"/>
        <v>0.429</v>
      </c>
    </row>
    <row r="869" spans="1:5">
      <c r="A869" s="2">
        <v>45429</v>
      </c>
      <c r="B869" s="1">
        <v>39.95</v>
      </c>
      <c r="C869" s="1">
        <v>53.79</v>
      </c>
      <c r="D869">
        <f t="shared" si="2"/>
        <v>0.526</v>
      </c>
      <c r="E869">
        <f t="shared" si="3"/>
        <v>0.443</v>
      </c>
    </row>
    <row r="870" spans="1:5">
      <c r="A870" s="2">
        <v>45432</v>
      </c>
      <c r="B870" s="1">
        <v>39.04</v>
      </c>
      <c r="C870" s="1">
        <v>53.38</v>
      </c>
      <c r="D870">
        <f t="shared" si="2"/>
        <v>0.42</v>
      </c>
      <c r="E870">
        <f t="shared" si="3"/>
        <v>0.409</v>
      </c>
    </row>
    <row r="871" spans="1:5">
      <c r="A871" s="2">
        <v>45433</v>
      </c>
      <c r="B871" s="1">
        <v>38.28</v>
      </c>
      <c r="C871" s="1">
        <v>52.16</v>
      </c>
      <c r="D871">
        <f t="shared" si="2"/>
        <v>0.313</v>
      </c>
      <c r="E871">
        <f t="shared" si="3"/>
        <v>0.242</v>
      </c>
    </row>
    <row r="872" spans="1:5">
      <c r="A872" s="2">
        <v>45434</v>
      </c>
      <c r="B872" s="1">
        <v>39.06</v>
      </c>
      <c r="C872" s="1">
        <v>53.86</v>
      </c>
      <c r="D872">
        <f t="shared" si="2"/>
        <v>0.423</v>
      </c>
      <c r="E872">
        <f t="shared" si="3"/>
        <v>0.461</v>
      </c>
    </row>
    <row r="873" spans="1:5">
      <c r="A873" s="2">
        <v>45435</v>
      </c>
      <c r="B873" s="1">
        <v>37.03</v>
      </c>
      <c r="C873" s="1">
        <v>51.09</v>
      </c>
      <c r="D873">
        <f t="shared" si="2"/>
        <v>0.14</v>
      </c>
      <c r="E873">
        <f t="shared" si="3"/>
        <v>0.121</v>
      </c>
    </row>
    <row r="874" spans="1:5">
      <c r="A874" s="2">
        <v>45436</v>
      </c>
      <c r="B874" s="1">
        <v>38.34</v>
      </c>
      <c r="C874" s="1">
        <v>52.75</v>
      </c>
      <c r="D874">
        <f t="shared" si="2"/>
        <v>0.325</v>
      </c>
      <c r="E874">
        <f t="shared" si="3"/>
        <v>0.333</v>
      </c>
    </row>
    <row r="875" spans="1:5">
      <c r="A875" s="2">
        <v>45439</v>
      </c>
      <c r="B875" s="1">
        <v>37.56</v>
      </c>
      <c r="C875" s="1">
        <v>52.2</v>
      </c>
      <c r="D875">
        <f t="shared" si="2"/>
        <v>0.206</v>
      </c>
      <c r="E875">
        <f t="shared" si="3"/>
        <v>0.252</v>
      </c>
    </row>
    <row r="876" spans="1:5">
      <c r="A876" s="2">
        <v>45440</v>
      </c>
      <c r="B876" s="1">
        <v>38.58</v>
      </c>
      <c r="C876" s="1">
        <v>53.49</v>
      </c>
      <c r="D876">
        <f t="shared" si="2"/>
        <v>0.361</v>
      </c>
      <c r="E876">
        <f t="shared" si="3"/>
        <v>0.424</v>
      </c>
    </row>
    <row r="877" spans="1:5">
      <c r="A877" s="2">
        <v>45441</v>
      </c>
      <c r="B877" s="1">
        <v>39.02</v>
      </c>
      <c r="C877" s="1">
        <v>53.84</v>
      </c>
      <c r="D877">
        <f t="shared" si="2"/>
        <v>0.423</v>
      </c>
      <c r="E877">
        <f t="shared" si="3"/>
        <v>0.46</v>
      </c>
    </row>
    <row r="878" spans="1:5">
      <c r="A878" s="2">
        <v>45442</v>
      </c>
      <c r="B878" s="1">
        <v>39.41</v>
      </c>
      <c r="C878" s="1">
        <v>53.98</v>
      </c>
      <c r="D878">
        <f t="shared" si="2"/>
        <v>0.477</v>
      </c>
      <c r="E878">
        <f t="shared" si="3"/>
        <v>0.487</v>
      </c>
    </row>
    <row r="879" spans="1:5">
      <c r="A879" s="2">
        <v>45443</v>
      </c>
      <c r="B879" s="1">
        <v>37.18</v>
      </c>
      <c r="C879" s="1">
        <v>52.17</v>
      </c>
      <c r="D879">
        <f t="shared" ref="D879:D942" si="4">PERCENTRANK(B130:B879,B879)</f>
        <v>0.168</v>
      </c>
      <c r="E879">
        <f t="shared" ref="E879:E942" si="5">PERCENTRANK(C130:C879,C879)</f>
        <v>0.248</v>
      </c>
    </row>
    <row r="880" spans="1:5">
      <c r="A880" s="2">
        <v>45446</v>
      </c>
      <c r="B880" s="1">
        <v>37.55</v>
      </c>
      <c r="C880" s="1">
        <v>51.5</v>
      </c>
      <c r="D880">
        <f t="shared" si="4"/>
        <v>0.205</v>
      </c>
      <c r="E880">
        <f t="shared" si="5"/>
        <v>0.172</v>
      </c>
    </row>
    <row r="881" spans="1:5">
      <c r="A881" s="2">
        <v>45447</v>
      </c>
      <c r="B881" s="1">
        <v>37.33</v>
      </c>
      <c r="C881" s="1">
        <v>51.59</v>
      </c>
      <c r="D881">
        <f t="shared" si="4"/>
        <v>0.185</v>
      </c>
      <c r="E881">
        <f t="shared" si="5"/>
        <v>0.176</v>
      </c>
    </row>
    <row r="882" spans="1:5">
      <c r="A882" s="2">
        <v>45448</v>
      </c>
      <c r="B882" s="1">
        <v>37.94</v>
      </c>
      <c r="C882" s="1">
        <v>52.5</v>
      </c>
      <c r="D882">
        <f t="shared" si="4"/>
        <v>0.263</v>
      </c>
      <c r="E882">
        <f t="shared" si="5"/>
        <v>0.296</v>
      </c>
    </row>
    <row r="883" spans="1:5">
      <c r="A883" s="2">
        <v>45449</v>
      </c>
      <c r="B883" s="1">
        <v>36.92</v>
      </c>
      <c r="C883" s="1">
        <v>50.27</v>
      </c>
      <c r="D883">
        <f t="shared" si="4"/>
        <v>0.132</v>
      </c>
      <c r="E883">
        <f t="shared" si="5"/>
        <v>0.069</v>
      </c>
    </row>
    <row r="884" spans="1:5">
      <c r="A884" s="2">
        <v>45450</v>
      </c>
      <c r="B884" s="1">
        <v>41.19</v>
      </c>
      <c r="C884" s="1">
        <v>54.8</v>
      </c>
      <c r="D884">
        <f t="shared" si="4"/>
        <v>0.662</v>
      </c>
      <c r="E884">
        <f t="shared" si="5"/>
        <v>0.582</v>
      </c>
    </row>
    <row r="885" spans="1:5">
      <c r="A885" s="2">
        <v>45454</v>
      </c>
      <c r="B885" s="1">
        <v>42.51</v>
      </c>
      <c r="C885" s="1">
        <v>56.71</v>
      </c>
      <c r="D885">
        <f t="shared" si="4"/>
        <v>0.751</v>
      </c>
      <c r="E885">
        <f t="shared" si="5"/>
        <v>0.726</v>
      </c>
    </row>
    <row r="886" spans="1:5">
      <c r="A886" s="2">
        <v>45455</v>
      </c>
      <c r="B886" s="1">
        <v>41.46</v>
      </c>
      <c r="C886" s="1">
        <v>55.85</v>
      </c>
      <c r="D886">
        <f t="shared" si="4"/>
        <v>0.684</v>
      </c>
      <c r="E886">
        <f t="shared" si="5"/>
        <v>0.666</v>
      </c>
    </row>
    <row r="887" spans="1:5">
      <c r="A887" s="2">
        <v>45456</v>
      </c>
      <c r="B887" s="1">
        <v>41.02</v>
      </c>
      <c r="C887" s="1">
        <v>55.52</v>
      </c>
      <c r="D887">
        <f t="shared" si="4"/>
        <v>0.646</v>
      </c>
      <c r="E887">
        <f t="shared" si="5"/>
        <v>0.65</v>
      </c>
    </row>
    <row r="888" spans="1:5">
      <c r="A888" s="2">
        <v>45457</v>
      </c>
      <c r="B888" s="1">
        <v>44.4</v>
      </c>
      <c r="C888" s="1">
        <v>58.99</v>
      </c>
      <c r="D888">
        <f t="shared" si="4"/>
        <v>0.867</v>
      </c>
      <c r="E888">
        <f t="shared" si="5"/>
        <v>0.854</v>
      </c>
    </row>
    <row r="889" spans="1:5">
      <c r="A889" s="2">
        <v>45460</v>
      </c>
      <c r="B889" s="1">
        <v>42.48</v>
      </c>
      <c r="C889" s="1">
        <v>57.56</v>
      </c>
      <c r="D889">
        <f t="shared" si="4"/>
        <v>0.753</v>
      </c>
      <c r="E889">
        <f t="shared" si="5"/>
        <v>0.782</v>
      </c>
    </row>
    <row r="890" spans="1:5">
      <c r="A890" s="2">
        <v>45461</v>
      </c>
      <c r="B890" s="1">
        <v>41.51</v>
      </c>
      <c r="C890" s="1">
        <v>55.89</v>
      </c>
      <c r="D890">
        <f t="shared" si="4"/>
        <v>0.691</v>
      </c>
      <c r="E890">
        <f t="shared" si="5"/>
        <v>0.67</v>
      </c>
    </row>
    <row r="891" spans="1:5">
      <c r="A891" s="2">
        <v>45462</v>
      </c>
      <c r="B891" s="1">
        <v>41.24</v>
      </c>
      <c r="C891" s="1">
        <v>55.51</v>
      </c>
      <c r="D891">
        <f t="shared" si="4"/>
        <v>0.671</v>
      </c>
      <c r="E891">
        <f t="shared" si="5"/>
        <v>0.648</v>
      </c>
    </row>
    <row r="892" spans="1:5">
      <c r="A892" s="2">
        <v>45463</v>
      </c>
      <c r="B892" s="1">
        <v>38.22</v>
      </c>
      <c r="C892" s="1">
        <v>52.49</v>
      </c>
      <c r="D892">
        <f t="shared" si="4"/>
        <v>0.317</v>
      </c>
      <c r="E892">
        <f t="shared" si="5"/>
        <v>0.295</v>
      </c>
    </row>
    <row r="893" spans="1:5">
      <c r="A893" s="2">
        <v>45464</v>
      </c>
      <c r="B893" s="1">
        <v>41.41</v>
      </c>
      <c r="C893" s="1">
        <v>55.24</v>
      </c>
      <c r="D893">
        <f t="shared" si="4"/>
        <v>0.684</v>
      </c>
      <c r="E893">
        <f t="shared" si="5"/>
        <v>0.628</v>
      </c>
    </row>
    <row r="894" spans="1:5">
      <c r="A894" s="2">
        <v>45467</v>
      </c>
      <c r="B894" s="1">
        <v>38.76</v>
      </c>
      <c r="C894" s="1">
        <v>52.2</v>
      </c>
      <c r="D894">
        <f t="shared" si="4"/>
        <v>0.399</v>
      </c>
      <c r="E894">
        <f t="shared" si="5"/>
        <v>0.257</v>
      </c>
    </row>
    <row r="895" spans="1:5">
      <c r="A895" s="2">
        <v>45468</v>
      </c>
      <c r="B895" s="1">
        <v>41.26</v>
      </c>
      <c r="C895" s="1">
        <v>54.92</v>
      </c>
      <c r="D895">
        <f t="shared" si="4"/>
        <v>0.675</v>
      </c>
      <c r="E895">
        <f t="shared" si="5"/>
        <v>0.596</v>
      </c>
    </row>
    <row r="896" spans="1:5">
      <c r="A896" s="2">
        <v>45469</v>
      </c>
      <c r="B896" s="1">
        <v>38.39</v>
      </c>
      <c r="C896" s="1">
        <v>52.42</v>
      </c>
      <c r="D896">
        <f t="shared" si="4"/>
        <v>0.343</v>
      </c>
      <c r="E896">
        <f t="shared" si="5"/>
        <v>0.287</v>
      </c>
    </row>
    <row r="897" spans="1:5">
      <c r="A897" s="2">
        <v>45470</v>
      </c>
      <c r="B897" s="1">
        <v>40.06</v>
      </c>
      <c r="C897" s="1">
        <v>53.87</v>
      </c>
      <c r="D897">
        <f t="shared" si="4"/>
        <v>0.564</v>
      </c>
      <c r="E897">
        <f t="shared" si="5"/>
        <v>0.48</v>
      </c>
    </row>
    <row r="898" spans="1:5">
      <c r="A898" s="2">
        <v>45471</v>
      </c>
      <c r="B898" s="1">
        <v>40.89</v>
      </c>
      <c r="C898" s="1">
        <v>54.97</v>
      </c>
      <c r="D898">
        <f t="shared" si="4"/>
        <v>0.636</v>
      </c>
      <c r="E898">
        <f t="shared" si="5"/>
        <v>0.602</v>
      </c>
    </row>
    <row r="899" spans="1:5">
      <c r="A899" s="2">
        <v>45474</v>
      </c>
      <c r="B899" s="1">
        <v>40.11</v>
      </c>
      <c r="C899" s="1">
        <v>53.93</v>
      </c>
      <c r="D899">
        <f t="shared" si="4"/>
        <v>0.574</v>
      </c>
      <c r="E899">
        <f t="shared" si="5"/>
        <v>0.491</v>
      </c>
    </row>
    <row r="900" spans="1:5">
      <c r="A900" s="2">
        <v>45475</v>
      </c>
      <c r="B900" s="1">
        <v>40.04</v>
      </c>
      <c r="C900" s="1">
        <v>53.99</v>
      </c>
      <c r="D900">
        <f t="shared" si="4"/>
        <v>0.563</v>
      </c>
      <c r="E900">
        <f t="shared" si="5"/>
        <v>0.503</v>
      </c>
    </row>
    <row r="901" spans="1:5">
      <c r="A901" s="2">
        <v>45476</v>
      </c>
      <c r="B901" s="1">
        <v>40.01</v>
      </c>
      <c r="C901" s="1">
        <v>53.55</v>
      </c>
      <c r="D901">
        <f t="shared" si="4"/>
        <v>0.56</v>
      </c>
      <c r="E901">
        <f t="shared" si="5"/>
        <v>0.44</v>
      </c>
    </row>
    <row r="902" spans="1:5">
      <c r="A902" s="2">
        <v>45477</v>
      </c>
      <c r="B902" s="1">
        <v>38.36</v>
      </c>
      <c r="C902" s="1">
        <v>52.01</v>
      </c>
      <c r="D902">
        <f t="shared" si="4"/>
        <v>0.337</v>
      </c>
      <c r="E902">
        <f t="shared" si="5"/>
        <v>0.23</v>
      </c>
    </row>
    <row r="903" spans="1:5">
      <c r="A903" s="2">
        <v>45478</v>
      </c>
      <c r="B903" s="1">
        <v>42.51</v>
      </c>
      <c r="C903" s="1">
        <v>56.04</v>
      </c>
      <c r="D903">
        <f t="shared" si="4"/>
        <v>0.771</v>
      </c>
      <c r="E903">
        <f t="shared" si="5"/>
        <v>0.7</v>
      </c>
    </row>
    <row r="904" spans="1:5">
      <c r="A904" s="2">
        <v>45481</v>
      </c>
      <c r="B904" s="1">
        <v>41.27</v>
      </c>
      <c r="C904" s="1">
        <v>54.76</v>
      </c>
      <c r="D904">
        <f t="shared" si="4"/>
        <v>0.687</v>
      </c>
      <c r="E904">
        <f t="shared" si="5"/>
        <v>0.587</v>
      </c>
    </row>
    <row r="905" spans="1:5">
      <c r="A905" s="2">
        <v>45482</v>
      </c>
      <c r="B905" s="1">
        <v>42.23</v>
      </c>
      <c r="C905" s="1">
        <v>55.72</v>
      </c>
      <c r="D905">
        <f t="shared" si="4"/>
        <v>0.751</v>
      </c>
      <c r="E905">
        <f t="shared" si="5"/>
        <v>0.679</v>
      </c>
    </row>
    <row r="906" spans="1:5">
      <c r="A906" s="2">
        <v>45483</v>
      </c>
      <c r="B906" s="1">
        <v>43.4</v>
      </c>
      <c r="C906" s="1">
        <v>57.8</v>
      </c>
      <c r="D906">
        <f t="shared" si="4"/>
        <v>0.826</v>
      </c>
      <c r="E906">
        <f t="shared" si="5"/>
        <v>0.817</v>
      </c>
    </row>
    <row r="907" spans="1:5">
      <c r="A907" s="2">
        <v>45484</v>
      </c>
      <c r="B907" s="1">
        <v>41.81</v>
      </c>
      <c r="C907" s="1">
        <v>55.48</v>
      </c>
      <c r="D907">
        <f t="shared" si="4"/>
        <v>0.726</v>
      </c>
      <c r="E907">
        <f t="shared" si="5"/>
        <v>0.664</v>
      </c>
    </row>
    <row r="908" spans="1:5">
      <c r="A908" s="2">
        <v>45485</v>
      </c>
      <c r="B908" s="1">
        <v>43.75</v>
      </c>
      <c r="C908" s="1">
        <v>57.46</v>
      </c>
      <c r="D908">
        <f t="shared" si="4"/>
        <v>0.846</v>
      </c>
      <c r="E908">
        <f t="shared" si="5"/>
        <v>0.801</v>
      </c>
    </row>
    <row r="909" spans="1:5">
      <c r="A909" s="2">
        <v>45488</v>
      </c>
      <c r="B909" s="1">
        <v>42.87</v>
      </c>
      <c r="C909" s="1">
        <v>56.71</v>
      </c>
      <c r="D909">
        <f t="shared" si="4"/>
        <v>0.795</v>
      </c>
      <c r="E909">
        <f t="shared" si="5"/>
        <v>0.751</v>
      </c>
    </row>
    <row r="910" spans="1:5">
      <c r="A910" s="2">
        <v>45489</v>
      </c>
      <c r="B910" s="1">
        <v>47.09</v>
      </c>
      <c r="C910" s="1">
        <v>60.49</v>
      </c>
      <c r="D910">
        <f t="shared" si="4"/>
        <v>0.977</v>
      </c>
      <c r="E910">
        <f t="shared" si="5"/>
        <v>0.931</v>
      </c>
    </row>
    <row r="911" spans="1:5">
      <c r="A911" s="2">
        <v>45490</v>
      </c>
      <c r="B911" s="1">
        <v>45.61</v>
      </c>
      <c r="C911" s="1">
        <v>59.26</v>
      </c>
      <c r="D911">
        <f t="shared" si="4"/>
        <v>0.935</v>
      </c>
      <c r="E911">
        <f t="shared" si="5"/>
        <v>0.875</v>
      </c>
    </row>
    <row r="912" spans="1:5">
      <c r="A912" s="2">
        <v>45491</v>
      </c>
      <c r="B912" s="1">
        <v>44.45</v>
      </c>
      <c r="C912" s="1">
        <v>57.9</v>
      </c>
      <c r="D912">
        <f t="shared" si="4"/>
        <v>0.887</v>
      </c>
      <c r="E912">
        <f t="shared" si="5"/>
        <v>0.826</v>
      </c>
    </row>
    <row r="913" spans="1:5">
      <c r="A913" s="2">
        <v>45492</v>
      </c>
      <c r="B913" s="1">
        <v>45.94</v>
      </c>
      <c r="C913" s="1">
        <v>59.45</v>
      </c>
      <c r="D913">
        <f t="shared" si="4"/>
        <v>0.943</v>
      </c>
      <c r="E913">
        <f t="shared" si="5"/>
        <v>0.887</v>
      </c>
    </row>
    <row r="914" spans="1:5">
      <c r="A914" s="2">
        <v>45495</v>
      </c>
      <c r="B914" s="1">
        <v>45.04</v>
      </c>
      <c r="C914" s="1">
        <v>58.96</v>
      </c>
      <c r="D914">
        <f t="shared" si="4"/>
        <v>0.914</v>
      </c>
      <c r="E914">
        <f t="shared" si="5"/>
        <v>0.866</v>
      </c>
    </row>
    <row r="915" spans="1:5">
      <c r="A915" s="2">
        <v>45496</v>
      </c>
      <c r="B915" s="1">
        <v>42.68</v>
      </c>
      <c r="C915" s="1">
        <v>56.66</v>
      </c>
      <c r="D915">
        <f t="shared" si="4"/>
        <v>0.789</v>
      </c>
      <c r="E915">
        <f t="shared" si="5"/>
        <v>0.744</v>
      </c>
    </row>
    <row r="916" spans="1:5">
      <c r="A916" s="2">
        <v>45497</v>
      </c>
      <c r="B916" s="1">
        <v>42.18</v>
      </c>
      <c r="C916" s="1">
        <v>56.11</v>
      </c>
      <c r="D916">
        <f t="shared" si="4"/>
        <v>0.751</v>
      </c>
      <c r="E916">
        <f t="shared" si="5"/>
        <v>0.712</v>
      </c>
    </row>
    <row r="917" spans="1:5">
      <c r="A917" s="2">
        <v>45498</v>
      </c>
      <c r="B917" s="1">
        <v>44.38</v>
      </c>
      <c r="C917" s="1">
        <v>58.34</v>
      </c>
      <c r="D917">
        <f t="shared" si="4"/>
        <v>0.882</v>
      </c>
      <c r="E917">
        <f t="shared" si="5"/>
        <v>0.849</v>
      </c>
    </row>
    <row r="918" spans="1:5">
      <c r="A918" s="2">
        <v>45499</v>
      </c>
      <c r="B918" s="1">
        <v>43.68</v>
      </c>
      <c r="C918" s="1">
        <v>57.29</v>
      </c>
      <c r="D918">
        <f t="shared" si="4"/>
        <v>0.842</v>
      </c>
      <c r="E918">
        <f t="shared" si="5"/>
        <v>0.798</v>
      </c>
    </row>
    <row r="919" spans="1:5">
      <c r="A919" s="2">
        <v>45502</v>
      </c>
      <c r="B919" s="1">
        <v>42.57</v>
      </c>
      <c r="C919" s="1">
        <v>56.85</v>
      </c>
      <c r="D919">
        <f t="shared" si="4"/>
        <v>0.783</v>
      </c>
      <c r="E919">
        <f t="shared" si="5"/>
        <v>0.773</v>
      </c>
    </row>
    <row r="920" spans="1:5">
      <c r="A920" s="2">
        <v>45503</v>
      </c>
      <c r="B920" s="1">
        <v>42.58</v>
      </c>
      <c r="C920" s="1">
        <v>56.88</v>
      </c>
      <c r="D920">
        <f t="shared" si="4"/>
        <v>0.785</v>
      </c>
      <c r="E920">
        <f t="shared" si="5"/>
        <v>0.775</v>
      </c>
    </row>
    <row r="921" spans="1:5">
      <c r="A921" s="2">
        <v>45504</v>
      </c>
      <c r="B921" s="1">
        <v>40.78</v>
      </c>
      <c r="C921" s="1">
        <v>54.62</v>
      </c>
      <c r="D921">
        <f t="shared" si="4"/>
        <v>0.632</v>
      </c>
      <c r="E921">
        <f t="shared" si="5"/>
        <v>0.572</v>
      </c>
    </row>
    <row r="922" spans="1:5">
      <c r="A922" s="2">
        <v>45505</v>
      </c>
      <c r="B922" s="1">
        <v>40.19</v>
      </c>
      <c r="C922" s="1">
        <v>54.39</v>
      </c>
      <c r="D922">
        <f t="shared" si="4"/>
        <v>0.586</v>
      </c>
      <c r="E922">
        <f t="shared" si="5"/>
        <v>0.551</v>
      </c>
    </row>
    <row r="923" spans="1:5">
      <c r="A923" s="2">
        <v>45506</v>
      </c>
      <c r="B923" s="1">
        <v>41.61</v>
      </c>
      <c r="C923" s="1">
        <v>54.9</v>
      </c>
      <c r="D923">
        <f t="shared" si="4"/>
        <v>0.718</v>
      </c>
      <c r="E923">
        <f t="shared" si="5"/>
        <v>0.608</v>
      </c>
    </row>
    <row r="924" spans="1:5">
      <c r="A924" s="2">
        <v>45509</v>
      </c>
      <c r="B924" s="1">
        <v>41.53</v>
      </c>
      <c r="C924" s="1">
        <v>54.73</v>
      </c>
      <c r="D924">
        <f t="shared" si="4"/>
        <v>0.712</v>
      </c>
      <c r="E924">
        <f t="shared" si="5"/>
        <v>0.588</v>
      </c>
    </row>
    <row r="925" spans="1:5">
      <c r="A925" s="2">
        <v>45510</v>
      </c>
      <c r="B925" s="1">
        <v>41.75</v>
      </c>
      <c r="C925" s="1">
        <v>55.7</v>
      </c>
      <c r="D925">
        <f t="shared" si="4"/>
        <v>0.727</v>
      </c>
      <c r="E925">
        <f t="shared" si="5"/>
        <v>0.684</v>
      </c>
    </row>
    <row r="926" spans="1:5">
      <c r="A926" s="2">
        <v>45511</v>
      </c>
      <c r="B926" s="1">
        <v>41.19</v>
      </c>
      <c r="C926" s="1">
        <v>55.24</v>
      </c>
      <c r="D926">
        <f t="shared" si="4"/>
        <v>0.678</v>
      </c>
      <c r="E926">
        <f t="shared" si="5"/>
        <v>0.647</v>
      </c>
    </row>
    <row r="927" spans="1:5">
      <c r="A927" s="2">
        <v>45512</v>
      </c>
      <c r="B927" s="1">
        <v>39.86</v>
      </c>
      <c r="C927" s="1">
        <v>53.92</v>
      </c>
      <c r="D927">
        <f t="shared" si="4"/>
        <v>0.534</v>
      </c>
      <c r="E927">
        <f t="shared" si="5"/>
        <v>0.493</v>
      </c>
    </row>
    <row r="928" spans="1:5">
      <c r="A928" s="2">
        <v>45513</v>
      </c>
      <c r="B928" s="1">
        <v>40.71</v>
      </c>
      <c r="C928" s="1">
        <v>54.33</v>
      </c>
      <c r="D928">
        <f t="shared" si="4"/>
        <v>0.627</v>
      </c>
      <c r="E928">
        <f t="shared" si="5"/>
        <v>0.539</v>
      </c>
    </row>
    <row r="929" spans="1:5">
      <c r="A929" s="2">
        <v>45516</v>
      </c>
      <c r="B929" s="1">
        <v>37.91</v>
      </c>
      <c r="C929" s="1">
        <v>51.65</v>
      </c>
      <c r="D929">
        <f t="shared" si="4"/>
        <v>0.261</v>
      </c>
      <c r="E929">
        <f t="shared" si="5"/>
        <v>0.189</v>
      </c>
    </row>
    <row r="930" spans="1:5">
      <c r="A930" s="2">
        <v>45517</v>
      </c>
      <c r="B930" s="1">
        <v>40.27</v>
      </c>
      <c r="C930" s="1">
        <v>54.06</v>
      </c>
      <c r="D930">
        <f t="shared" si="4"/>
        <v>0.596</v>
      </c>
      <c r="E930">
        <f t="shared" si="5"/>
        <v>0.515</v>
      </c>
    </row>
    <row r="931" spans="1:5">
      <c r="A931" s="2">
        <v>45518</v>
      </c>
      <c r="B931" s="1">
        <v>39.78</v>
      </c>
      <c r="C931" s="1">
        <v>53.84</v>
      </c>
      <c r="D931">
        <f t="shared" si="4"/>
        <v>0.53</v>
      </c>
      <c r="E931">
        <f t="shared" si="5"/>
        <v>0.475</v>
      </c>
    </row>
    <row r="932" spans="1:5">
      <c r="A932" s="2">
        <v>45519</v>
      </c>
      <c r="B932" s="1">
        <v>38.81</v>
      </c>
      <c r="C932" s="1">
        <v>52.45</v>
      </c>
      <c r="D932">
        <f t="shared" si="4"/>
        <v>0.408</v>
      </c>
      <c r="E932">
        <f t="shared" si="5"/>
        <v>0.296</v>
      </c>
    </row>
    <row r="933" spans="1:5">
      <c r="A933" s="2">
        <v>45520</v>
      </c>
      <c r="B933" s="1">
        <v>39.3</v>
      </c>
      <c r="C933" s="1">
        <v>53.56</v>
      </c>
      <c r="D933">
        <f t="shared" si="4"/>
        <v>0.481</v>
      </c>
      <c r="E933">
        <f t="shared" si="5"/>
        <v>0.447</v>
      </c>
    </row>
    <row r="934" spans="1:5">
      <c r="A934" s="2">
        <v>45523</v>
      </c>
      <c r="B934" s="1">
        <v>40.33</v>
      </c>
      <c r="C934" s="1">
        <v>54.43</v>
      </c>
      <c r="D934">
        <f t="shared" si="4"/>
        <v>0.608</v>
      </c>
      <c r="E934">
        <f t="shared" si="5"/>
        <v>0.566</v>
      </c>
    </row>
    <row r="935" spans="1:5">
      <c r="A935" s="2">
        <v>45524</v>
      </c>
      <c r="B935" s="1">
        <v>39.48</v>
      </c>
      <c r="C935" s="1">
        <v>53.27</v>
      </c>
      <c r="D935">
        <f t="shared" si="4"/>
        <v>0.499</v>
      </c>
      <c r="E935">
        <f t="shared" si="5"/>
        <v>0.415</v>
      </c>
    </row>
    <row r="936" spans="1:5">
      <c r="A936" s="2">
        <v>45525</v>
      </c>
      <c r="B936" s="1">
        <v>41.69</v>
      </c>
      <c r="C936" s="1">
        <v>56.45</v>
      </c>
      <c r="D936">
        <f t="shared" si="4"/>
        <v>0.736</v>
      </c>
      <c r="E936">
        <f t="shared" si="5"/>
        <v>0.754</v>
      </c>
    </row>
    <row r="937" spans="1:5">
      <c r="A937" s="2">
        <v>45526</v>
      </c>
      <c r="B937" s="1">
        <v>41.76</v>
      </c>
      <c r="C937" s="1">
        <v>55.95</v>
      </c>
      <c r="D937">
        <f t="shared" si="4"/>
        <v>0.743</v>
      </c>
      <c r="E937">
        <f t="shared" si="5"/>
        <v>0.718</v>
      </c>
    </row>
    <row r="938" spans="1:5">
      <c r="A938" s="2">
        <v>45527</v>
      </c>
      <c r="B938" s="1">
        <v>41.41</v>
      </c>
      <c r="C938" s="1">
        <v>55.01</v>
      </c>
      <c r="D938">
        <f t="shared" si="4"/>
        <v>0.714</v>
      </c>
      <c r="E938">
        <f t="shared" si="5"/>
        <v>0.63</v>
      </c>
    </row>
    <row r="939" spans="1:5">
      <c r="A939" s="2">
        <v>45530</v>
      </c>
      <c r="B939" s="1">
        <v>41.57</v>
      </c>
      <c r="C939" s="1">
        <v>55.45</v>
      </c>
      <c r="D939">
        <f t="shared" si="4"/>
        <v>0.732</v>
      </c>
      <c r="E939">
        <f t="shared" si="5"/>
        <v>0.68</v>
      </c>
    </row>
    <row r="940" spans="1:5">
      <c r="A940" s="2">
        <v>45531</v>
      </c>
      <c r="B940" s="1">
        <v>40.61</v>
      </c>
      <c r="C940" s="1">
        <v>54.6</v>
      </c>
      <c r="D940">
        <f t="shared" si="4"/>
        <v>0.632</v>
      </c>
      <c r="E940">
        <f t="shared" si="5"/>
        <v>0.586</v>
      </c>
    </row>
    <row r="941" spans="1:5">
      <c r="A941" s="2">
        <v>45532</v>
      </c>
      <c r="B941" s="1">
        <v>40.95</v>
      </c>
      <c r="C941" s="1">
        <v>54.55</v>
      </c>
      <c r="D941">
        <f t="shared" si="4"/>
        <v>0.666</v>
      </c>
      <c r="E941">
        <f t="shared" si="5"/>
        <v>0.578</v>
      </c>
    </row>
    <row r="942" spans="1:5">
      <c r="A942" s="2">
        <v>45533</v>
      </c>
      <c r="B942" s="1">
        <v>41.45</v>
      </c>
      <c r="C942" s="1">
        <v>55.2</v>
      </c>
      <c r="D942">
        <f t="shared" si="4"/>
        <v>0.72</v>
      </c>
      <c r="E942">
        <f t="shared" si="5"/>
        <v>0.655</v>
      </c>
    </row>
    <row r="943" spans="1:5">
      <c r="A943" s="2">
        <v>45534</v>
      </c>
      <c r="B943" s="1">
        <v>41.16</v>
      </c>
      <c r="C943" s="1">
        <v>54.92</v>
      </c>
      <c r="D943">
        <f t="shared" ref="D943:D1006" si="6">PERCENTRANK(B194:B943,B943)</f>
        <v>0.69</v>
      </c>
      <c r="E943">
        <f t="shared" ref="E943:E1006" si="7">PERCENTRANK(C194:C943,C943)</f>
        <v>0.626</v>
      </c>
    </row>
    <row r="944" spans="1:5">
      <c r="A944" s="2">
        <v>45537</v>
      </c>
      <c r="B944" s="1">
        <v>39.81</v>
      </c>
      <c r="C944" s="1">
        <v>53.81</v>
      </c>
      <c r="D944">
        <f t="shared" si="6"/>
        <v>0.538</v>
      </c>
      <c r="E944">
        <f t="shared" si="7"/>
        <v>0.472</v>
      </c>
    </row>
    <row r="945" spans="1:5">
      <c r="A945" s="2">
        <v>45538</v>
      </c>
      <c r="B945" s="1">
        <v>40.01</v>
      </c>
      <c r="C945" s="1">
        <v>54.18</v>
      </c>
      <c r="D945">
        <f t="shared" si="6"/>
        <v>0.571</v>
      </c>
      <c r="E945">
        <f t="shared" si="7"/>
        <v>0.532</v>
      </c>
    </row>
    <row r="946" spans="1:5">
      <c r="A946" s="2">
        <v>45539</v>
      </c>
      <c r="B946" s="1">
        <v>40.96</v>
      </c>
      <c r="C946" s="1">
        <v>55.28</v>
      </c>
      <c r="D946">
        <f t="shared" si="6"/>
        <v>0.672</v>
      </c>
      <c r="E946">
        <f t="shared" si="7"/>
        <v>0.671</v>
      </c>
    </row>
    <row r="947" spans="1:5">
      <c r="A947" s="2">
        <v>45540</v>
      </c>
      <c r="B947" s="1">
        <v>39.91</v>
      </c>
      <c r="C947" s="1">
        <v>54.33</v>
      </c>
      <c r="D947">
        <f t="shared" si="6"/>
        <v>0.552</v>
      </c>
      <c r="E947">
        <f t="shared" si="7"/>
        <v>0.55</v>
      </c>
    </row>
    <row r="948" spans="1:5">
      <c r="A948" s="2">
        <v>45541</v>
      </c>
      <c r="B948" s="1">
        <v>40.68</v>
      </c>
      <c r="C948" s="1">
        <v>54.43</v>
      </c>
      <c r="D948">
        <f t="shared" si="6"/>
        <v>0.642</v>
      </c>
      <c r="E948">
        <f t="shared" si="7"/>
        <v>0.571</v>
      </c>
    </row>
    <row r="949" spans="1:5">
      <c r="A949" s="2">
        <v>45544</v>
      </c>
      <c r="B949" s="1">
        <v>42.67</v>
      </c>
      <c r="C949" s="1">
        <v>56.37</v>
      </c>
      <c r="D949">
        <f t="shared" si="6"/>
        <v>0.83</v>
      </c>
      <c r="E949">
        <f t="shared" si="7"/>
        <v>0.766</v>
      </c>
    </row>
    <row r="950" spans="1:5">
      <c r="A950" s="2">
        <v>45545</v>
      </c>
      <c r="B950" s="1">
        <v>39.61</v>
      </c>
      <c r="C950" s="1">
        <v>53.35</v>
      </c>
      <c r="D950">
        <f t="shared" si="6"/>
        <v>0.522</v>
      </c>
      <c r="E950">
        <f t="shared" si="7"/>
        <v>0.427</v>
      </c>
    </row>
    <row r="951" spans="1:5">
      <c r="A951" s="2">
        <v>45546</v>
      </c>
      <c r="B951" s="1">
        <v>43.7</v>
      </c>
      <c r="C951" s="1">
        <v>57.64</v>
      </c>
      <c r="D951">
        <f t="shared" si="6"/>
        <v>0.886</v>
      </c>
      <c r="E951">
        <f t="shared" si="7"/>
        <v>0.857</v>
      </c>
    </row>
    <row r="952" spans="1:5">
      <c r="A952" s="2">
        <v>45547</v>
      </c>
      <c r="B952" s="1">
        <v>42.05</v>
      </c>
      <c r="C952" s="1">
        <v>55.91</v>
      </c>
      <c r="D952">
        <f t="shared" si="6"/>
        <v>0.779</v>
      </c>
      <c r="E952">
        <f t="shared" si="7"/>
        <v>0.728</v>
      </c>
    </row>
    <row r="953" spans="1:5">
      <c r="A953" s="2">
        <v>45548</v>
      </c>
      <c r="B953" s="1">
        <v>43.09</v>
      </c>
      <c r="C953" s="1">
        <v>56.35</v>
      </c>
      <c r="D953">
        <f t="shared" si="6"/>
        <v>0.854</v>
      </c>
      <c r="E953">
        <f t="shared" si="7"/>
        <v>0.766</v>
      </c>
    </row>
    <row r="954" spans="1:5">
      <c r="A954" s="2">
        <v>45553</v>
      </c>
      <c r="B954" s="1">
        <v>40.04</v>
      </c>
      <c r="C954" s="1">
        <v>53.75</v>
      </c>
      <c r="D954">
        <f t="shared" si="6"/>
        <v>0.579</v>
      </c>
      <c r="E954">
        <f t="shared" si="7"/>
        <v>0.467</v>
      </c>
    </row>
    <row r="955" spans="1:5">
      <c r="A955" s="2">
        <v>45554</v>
      </c>
      <c r="B955" s="1">
        <v>40.74</v>
      </c>
      <c r="C955" s="1">
        <v>54.54</v>
      </c>
      <c r="D955">
        <f t="shared" si="6"/>
        <v>0.648</v>
      </c>
      <c r="E955">
        <f t="shared" si="7"/>
        <v>0.584</v>
      </c>
    </row>
    <row r="956" spans="1:5">
      <c r="A956" s="2">
        <v>45555</v>
      </c>
      <c r="B956" s="1">
        <v>42.74</v>
      </c>
      <c r="C956" s="1">
        <v>56.7</v>
      </c>
      <c r="D956">
        <f t="shared" si="6"/>
        <v>0.838</v>
      </c>
      <c r="E956">
        <f t="shared" si="7"/>
        <v>0.797</v>
      </c>
    </row>
    <row r="957" spans="1:5">
      <c r="A957" s="2">
        <v>45558</v>
      </c>
      <c r="B957" s="1">
        <v>42.46</v>
      </c>
      <c r="C957" s="1">
        <v>56.47</v>
      </c>
      <c r="D957">
        <f t="shared" si="6"/>
        <v>0.817</v>
      </c>
      <c r="E957">
        <f t="shared" si="7"/>
        <v>0.782</v>
      </c>
    </row>
    <row r="958" spans="1:5">
      <c r="A958" s="2">
        <v>45559</v>
      </c>
      <c r="B958" s="1">
        <v>42.12</v>
      </c>
      <c r="C958" s="1">
        <v>55.51</v>
      </c>
      <c r="D958">
        <f t="shared" si="6"/>
        <v>0.79</v>
      </c>
      <c r="E958">
        <f t="shared" si="7"/>
        <v>0.703</v>
      </c>
    </row>
    <row r="959" spans="1:5">
      <c r="A959" s="2">
        <v>45560</v>
      </c>
      <c r="B959" s="1">
        <v>40.62</v>
      </c>
      <c r="C959" s="1">
        <v>54.37</v>
      </c>
      <c r="D959">
        <f t="shared" si="6"/>
        <v>0.64</v>
      </c>
      <c r="E959">
        <f t="shared" si="7"/>
        <v>0.564</v>
      </c>
    </row>
    <row r="960" spans="1:5">
      <c r="A960" s="2">
        <v>45561</v>
      </c>
      <c r="B960" s="1">
        <v>42.26</v>
      </c>
      <c r="C960" s="1">
        <v>55.92</v>
      </c>
      <c r="D960">
        <f t="shared" si="6"/>
        <v>0.805</v>
      </c>
      <c r="E960">
        <f t="shared" si="7"/>
        <v>0.735</v>
      </c>
    </row>
    <row r="961" spans="1:5">
      <c r="A961" s="2">
        <v>45562</v>
      </c>
      <c r="B961" s="1">
        <v>41.35</v>
      </c>
      <c r="C961" s="1">
        <v>54.57</v>
      </c>
      <c r="D961">
        <f t="shared" si="6"/>
        <v>0.724</v>
      </c>
      <c r="E961">
        <f t="shared" si="7"/>
        <v>0.591</v>
      </c>
    </row>
    <row r="962" spans="1:5">
      <c r="A962" s="2">
        <v>45565</v>
      </c>
      <c r="B962" s="1">
        <v>37.32</v>
      </c>
      <c r="C962" s="1">
        <v>50.17</v>
      </c>
      <c r="D962">
        <f t="shared" si="6"/>
        <v>0.184</v>
      </c>
      <c r="E962">
        <f t="shared" si="7"/>
        <v>0.064</v>
      </c>
    </row>
    <row r="963" spans="1:5">
      <c r="A963" s="2">
        <v>45573</v>
      </c>
      <c r="B963" s="1">
        <v>36.55</v>
      </c>
      <c r="C963" s="1">
        <v>49.37</v>
      </c>
      <c r="D963">
        <f t="shared" si="6"/>
        <v>0.112</v>
      </c>
      <c r="E963">
        <f t="shared" si="7"/>
        <v>0.037</v>
      </c>
    </row>
    <row r="964" spans="1:5">
      <c r="A964" s="2">
        <v>45574</v>
      </c>
      <c r="B964" s="1">
        <v>43.83</v>
      </c>
      <c r="C964" s="1">
        <v>57.09</v>
      </c>
      <c r="D964">
        <f t="shared" si="6"/>
        <v>0.913</v>
      </c>
      <c r="E964">
        <f t="shared" si="7"/>
        <v>0.846</v>
      </c>
    </row>
    <row r="965" spans="1:5">
      <c r="A965" s="2">
        <v>45575</v>
      </c>
      <c r="B965" s="1">
        <v>44.51</v>
      </c>
      <c r="C965" s="1">
        <v>57.7</v>
      </c>
      <c r="D965">
        <f t="shared" si="6"/>
        <v>0.947</v>
      </c>
      <c r="E965">
        <f t="shared" si="7"/>
        <v>0.878</v>
      </c>
    </row>
    <row r="966" spans="1:5">
      <c r="A966" s="2">
        <v>45576</v>
      </c>
      <c r="B966" s="1">
        <v>42.92</v>
      </c>
      <c r="C966" s="1">
        <v>55.94</v>
      </c>
      <c r="D966">
        <f t="shared" si="6"/>
        <v>0.857</v>
      </c>
      <c r="E966">
        <f t="shared" si="7"/>
        <v>0.744</v>
      </c>
    </row>
    <row r="967" spans="1:5">
      <c r="A967" s="2">
        <v>45579</v>
      </c>
      <c r="B967" s="1">
        <v>44.41</v>
      </c>
      <c r="C967" s="1">
        <v>57.82</v>
      </c>
      <c r="D967">
        <f t="shared" si="6"/>
        <v>0.942</v>
      </c>
      <c r="E967">
        <f t="shared" si="7"/>
        <v>0.887</v>
      </c>
    </row>
    <row r="968" spans="1:5">
      <c r="A968" s="2">
        <v>45580</v>
      </c>
      <c r="B968" s="1">
        <v>44.97</v>
      </c>
      <c r="C968" s="1">
        <v>58.35</v>
      </c>
      <c r="D968">
        <f t="shared" si="6"/>
        <v>0.962</v>
      </c>
      <c r="E968">
        <f t="shared" si="7"/>
        <v>0.914</v>
      </c>
    </row>
    <row r="969" spans="1:5">
      <c r="A969" s="2">
        <v>45581</v>
      </c>
      <c r="B969" s="1">
        <v>45.13</v>
      </c>
      <c r="C969" s="1">
        <v>58.35</v>
      </c>
      <c r="D969">
        <f t="shared" si="6"/>
        <v>0.966</v>
      </c>
      <c r="E969">
        <f t="shared" si="7"/>
        <v>0.914</v>
      </c>
    </row>
    <row r="970" spans="1:5">
      <c r="A970" s="2">
        <v>45582</v>
      </c>
      <c r="B970" s="1">
        <v>44.77</v>
      </c>
      <c r="C970" s="1">
        <v>58.2</v>
      </c>
      <c r="D970">
        <f t="shared" si="6"/>
        <v>0.955</v>
      </c>
      <c r="E970">
        <f t="shared" si="7"/>
        <v>0.903</v>
      </c>
    </row>
    <row r="971" spans="1:5">
      <c r="A971" s="2">
        <v>45583</v>
      </c>
      <c r="B971" s="1">
        <v>44.52</v>
      </c>
      <c r="C971" s="1">
        <v>57.95</v>
      </c>
      <c r="D971">
        <f t="shared" si="6"/>
        <v>0.949</v>
      </c>
      <c r="E971">
        <f t="shared" si="7"/>
        <v>0.895</v>
      </c>
    </row>
    <row r="972" spans="1:5">
      <c r="A972" s="2">
        <v>45586</v>
      </c>
      <c r="B972" s="1">
        <v>42.47</v>
      </c>
      <c r="C972" s="1">
        <v>56.38</v>
      </c>
      <c r="D972">
        <f t="shared" si="6"/>
        <v>0.823</v>
      </c>
      <c r="E972">
        <f t="shared" si="7"/>
        <v>0.783</v>
      </c>
    </row>
    <row r="973" spans="1:5">
      <c r="A973" s="2">
        <v>45587</v>
      </c>
      <c r="B973" s="1">
        <v>41.63</v>
      </c>
      <c r="C973" s="1">
        <v>55.53</v>
      </c>
      <c r="D973">
        <f t="shared" si="6"/>
        <v>0.758</v>
      </c>
      <c r="E973">
        <f t="shared" si="7"/>
        <v>0.715</v>
      </c>
    </row>
    <row r="974" spans="1:5">
      <c r="A974" s="2">
        <v>45588</v>
      </c>
      <c r="B974" s="1">
        <v>41.88</v>
      </c>
      <c r="C974" s="1">
        <v>55.68</v>
      </c>
      <c r="D974">
        <f t="shared" si="6"/>
        <v>0.779</v>
      </c>
      <c r="E974">
        <f t="shared" si="7"/>
        <v>0.723</v>
      </c>
    </row>
    <row r="975" spans="1:5">
      <c r="A975" s="2">
        <v>45589</v>
      </c>
      <c r="B975" s="1">
        <v>43</v>
      </c>
      <c r="C975" s="1">
        <v>56.07</v>
      </c>
      <c r="D975">
        <f t="shared" si="6"/>
        <v>0.863</v>
      </c>
      <c r="E975">
        <f t="shared" si="7"/>
        <v>0.761</v>
      </c>
    </row>
    <row r="976" spans="1:5">
      <c r="A976" s="2">
        <v>45590</v>
      </c>
      <c r="B976" s="1">
        <v>39.83</v>
      </c>
      <c r="C976" s="1">
        <v>52.92</v>
      </c>
      <c r="D976">
        <f t="shared" si="6"/>
        <v>0.546</v>
      </c>
      <c r="E976">
        <f t="shared" si="7"/>
        <v>0.383</v>
      </c>
    </row>
    <row r="977" spans="1:5">
      <c r="A977" s="2">
        <v>45593</v>
      </c>
      <c r="B977" s="1">
        <v>37.43</v>
      </c>
      <c r="C977" s="1">
        <v>50.58</v>
      </c>
      <c r="D977">
        <f t="shared" si="6"/>
        <v>0.198</v>
      </c>
      <c r="E977">
        <f t="shared" si="7"/>
        <v>0.092</v>
      </c>
    </row>
    <row r="978" spans="1:5">
      <c r="A978" s="2">
        <v>45594</v>
      </c>
      <c r="B978" s="1">
        <v>39</v>
      </c>
      <c r="C978" s="1">
        <v>51.97</v>
      </c>
      <c r="D978">
        <f t="shared" si="6"/>
        <v>0.437</v>
      </c>
      <c r="E978">
        <f t="shared" si="7"/>
        <v>0.229</v>
      </c>
    </row>
    <row r="979" spans="1:5">
      <c r="A979" s="2">
        <v>45595</v>
      </c>
      <c r="B979" s="1">
        <v>41.01</v>
      </c>
      <c r="C979" s="1">
        <v>54.47</v>
      </c>
      <c r="D979">
        <f t="shared" si="6"/>
        <v>0.694</v>
      </c>
      <c r="E979">
        <f t="shared" si="7"/>
        <v>0.587</v>
      </c>
    </row>
    <row r="980" spans="1:5">
      <c r="A980" s="2">
        <v>45596</v>
      </c>
      <c r="B980" s="1">
        <v>42.56</v>
      </c>
      <c r="C980" s="1">
        <v>56.05</v>
      </c>
      <c r="D980">
        <f t="shared" si="6"/>
        <v>0.841</v>
      </c>
      <c r="E980">
        <f t="shared" si="7"/>
        <v>0.766</v>
      </c>
    </row>
    <row r="981" spans="1:5">
      <c r="A981" s="2">
        <v>45597</v>
      </c>
      <c r="B981" s="1">
        <v>42.39</v>
      </c>
      <c r="C981" s="1">
        <v>55.81</v>
      </c>
      <c r="D981">
        <f t="shared" si="6"/>
        <v>0.819</v>
      </c>
      <c r="E981">
        <f t="shared" si="7"/>
        <v>0.74</v>
      </c>
    </row>
    <row r="982" spans="1:5">
      <c r="A982" s="2">
        <v>45600</v>
      </c>
      <c r="B982" s="1">
        <v>43.81</v>
      </c>
      <c r="C982" s="1">
        <v>56.9</v>
      </c>
      <c r="D982">
        <f t="shared" si="6"/>
        <v>0.918</v>
      </c>
      <c r="E982">
        <f t="shared" si="7"/>
        <v>0.847</v>
      </c>
    </row>
    <row r="983" spans="1:5">
      <c r="A983" s="2">
        <v>45601</v>
      </c>
      <c r="B983" s="1">
        <v>42.51</v>
      </c>
      <c r="C983" s="1">
        <v>55.75</v>
      </c>
      <c r="D983">
        <f t="shared" si="6"/>
        <v>0.835</v>
      </c>
      <c r="E983">
        <f t="shared" si="7"/>
        <v>0.739</v>
      </c>
    </row>
    <row r="984" spans="1:5">
      <c r="A984" s="2">
        <v>45602</v>
      </c>
      <c r="B984" s="1">
        <v>42.15</v>
      </c>
      <c r="C984" s="1">
        <v>55.52</v>
      </c>
      <c r="D984">
        <f t="shared" si="6"/>
        <v>0.803</v>
      </c>
      <c r="E984">
        <f t="shared" si="7"/>
        <v>0.718</v>
      </c>
    </row>
    <row r="985" spans="1:5">
      <c r="A985" s="2">
        <v>45603</v>
      </c>
      <c r="B985" s="1">
        <v>42.03</v>
      </c>
      <c r="C985" s="1">
        <v>55.18</v>
      </c>
      <c r="D985">
        <f t="shared" si="6"/>
        <v>0.79</v>
      </c>
      <c r="E985">
        <f t="shared" si="7"/>
        <v>0.674</v>
      </c>
    </row>
    <row r="986" spans="1:5">
      <c r="A986" s="2">
        <v>45604</v>
      </c>
      <c r="B986" s="1">
        <v>41.1</v>
      </c>
      <c r="C986" s="1">
        <v>54.6</v>
      </c>
      <c r="D986">
        <f t="shared" si="6"/>
        <v>0.703</v>
      </c>
      <c r="E986">
        <f t="shared" si="7"/>
        <v>0.607</v>
      </c>
    </row>
    <row r="987" spans="1:5">
      <c r="A987" s="2">
        <v>45607</v>
      </c>
      <c r="B987" s="1">
        <v>41.11</v>
      </c>
      <c r="C987" s="1">
        <v>54.4</v>
      </c>
      <c r="D987">
        <f t="shared" si="6"/>
        <v>0.707</v>
      </c>
      <c r="E987">
        <f t="shared" si="7"/>
        <v>0.579</v>
      </c>
    </row>
    <row r="988" spans="1:5">
      <c r="A988" s="2">
        <v>45608</v>
      </c>
      <c r="B988" s="1">
        <v>40.39</v>
      </c>
      <c r="C988" s="1">
        <v>53.47</v>
      </c>
      <c r="D988">
        <f t="shared" si="6"/>
        <v>0.632</v>
      </c>
      <c r="E988">
        <f t="shared" si="7"/>
        <v>0.448</v>
      </c>
    </row>
    <row r="989" spans="1:5">
      <c r="A989" s="2">
        <v>45609</v>
      </c>
      <c r="B989" s="1">
        <v>42.19</v>
      </c>
      <c r="C989" s="1">
        <v>54.97</v>
      </c>
      <c r="D989">
        <f t="shared" si="6"/>
        <v>0.814</v>
      </c>
      <c r="E989">
        <f t="shared" si="7"/>
        <v>0.654</v>
      </c>
    </row>
    <row r="990" spans="1:5">
      <c r="A990" s="2">
        <v>45610</v>
      </c>
      <c r="B990" s="1">
        <v>41.43</v>
      </c>
      <c r="C990" s="1">
        <v>54.68</v>
      </c>
      <c r="D990">
        <f t="shared" si="6"/>
        <v>0.744</v>
      </c>
      <c r="E990">
        <f t="shared" si="7"/>
        <v>0.622</v>
      </c>
    </row>
    <row r="991" spans="1:5">
      <c r="A991" s="2">
        <v>45611</v>
      </c>
      <c r="B991" s="1">
        <v>42.42</v>
      </c>
      <c r="C991" s="1">
        <v>55.81</v>
      </c>
      <c r="D991">
        <f t="shared" si="6"/>
        <v>0.835</v>
      </c>
      <c r="E991">
        <f t="shared" si="7"/>
        <v>0.751</v>
      </c>
    </row>
    <row r="992" spans="1:5">
      <c r="A992" s="2">
        <v>45614</v>
      </c>
      <c r="B992" s="1">
        <v>40.21</v>
      </c>
      <c r="C992" s="1">
        <v>53.53</v>
      </c>
      <c r="D992">
        <f t="shared" si="6"/>
        <v>0.611</v>
      </c>
      <c r="E992">
        <f t="shared" si="7"/>
        <v>0.452</v>
      </c>
    </row>
    <row r="993" spans="1:5">
      <c r="A993" s="2">
        <v>45615</v>
      </c>
      <c r="B993" s="1">
        <v>41.74</v>
      </c>
      <c r="C993" s="1">
        <v>55.23</v>
      </c>
      <c r="D993">
        <f t="shared" si="6"/>
        <v>0.775</v>
      </c>
      <c r="E993">
        <f t="shared" si="7"/>
        <v>0.691</v>
      </c>
    </row>
    <row r="994" spans="1:5">
      <c r="A994" s="2">
        <v>45616</v>
      </c>
      <c r="B994" s="1">
        <v>39.11</v>
      </c>
      <c r="C994" s="1">
        <v>52.73</v>
      </c>
      <c r="D994">
        <f t="shared" si="6"/>
        <v>0.463</v>
      </c>
      <c r="E994">
        <f t="shared" si="7"/>
        <v>0.351</v>
      </c>
    </row>
    <row r="995" spans="1:5">
      <c r="A995" s="2">
        <v>45617</v>
      </c>
      <c r="B995" s="1">
        <v>40.63</v>
      </c>
      <c r="C995" s="1">
        <v>53.88</v>
      </c>
      <c r="D995">
        <f t="shared" si="6"/>
        <v>0.655</v>
      </c>
      <c r="E995">
        <f t="shared" si="7"/>
        <v>0.507</v>
      </c>
    </row>
    <row r="996" spans="1:5">
      <c r="A996" s="2">
        <v>45618</v>
      </c>
      <c r="B996" s="1">
        <v>38.86</v>
      </c>
      <c r="C996" s="1">
        <v>52.2</v>
      </c>
      <c r="D996">
        <f t="shared" si="6"/>
        <v>0.423</v>
      </c>
      <c r="E996">
        <f t="shared" si="7"/>
        <v>0.265</v>
      </c>
    </row>
    <row r="997" spans="1:5">
      <c r="A997" s="2">
        <v>45621</v>
      </c>
      <c r="B997" s="1">
        <v>40.28</v>
      </c>
      <c r="C997" s="1">
        <v>53.8</v>
      </c>
      <c r="D997">
        <f t="shared" si="6"/>
        <v>0.623</v>
      </c>
      <c r="E997">
        <f t="shared" si="7"/>
        <v>0.485</v>
      </c>
    </row>
    <row r="998" spans="1:5">
      <c r="A998" s="2">
        <v>45622</v>
      </c>
      <c r="B998" s="1">
        <v>38.69</v>
      </c>
      <c r="C998" s="1">
        <v>52.31</v>
      </c>
      <c r="D998">
        <f t="shared" si="6"/>
        <v>0.387</v>
      </c>
      <c r="E998">
        <f t="shared" si="7"/>
        <v>0.281</v>
      </c>
    </row>
    <row r="999" spans="1:5">
      <c r="A999" s="2">
        <v>45623</v>
      </c>
      <c r="B999" s="1">
        <v>39</v>
      </c>
      <c r="C999" s="1">
        <v>52.2</v>
      </c>
      <c r="D999">
        <f t="shared" si="6"/>
        <v>0.44</v>
      </c>
      <c r="E999">
        <f t="shared" si="7"/>
        <v>0.265</v>
      </c>
    </row>
    <row r="1000" spans="1:5">
      <c r="A1000" s="2">
        <v>45624</v>
      </c>
      <c r="B1000" s="1">
        <v>38.59</v>
      </c>
      <c r="C1000" s="1">
        <v>51.75</v>
      </c>
      <c r="D1000">
        <f t="shared" si="6"/>
        <v>0.379</v>
      </c>
      <c r="E1000">
        <f t="shared" si="7"/>
        <v>0.204</v>
      </c>
    </row>
    <row r="1001" spans="1:5">
      <c r="A1001" s="2">
        <v>45625</v>
      </c>
      <c r="B1001" s="1">
        <v>39.23</v>
      </c>
      <c r="C1001" s="1">
        <v>52.32</v>
      </c>
      <c r="D1001">
        <f t="shared" si="6"/>
        <v>0.483</v>
      </c>
      <c r="E1001">
        <f t="shared" si="7"/>
        <v>0.285</v>
      </c>
    </row>
    <row r="1002" spans="1:5">
      <c r="A1002" s="2">
        <v>45628</v>
      </c>
      <c r="B1002" s="1">
        <v>36.6</v>
      </c>
      <c r="C1002" s="1">
        <v>49.94</v>
      </c>
      <c r="D1002">
        <f t="shared" si="6"/>
        <v>0.113</v>
      </c>
      <c r="E1002">
        <f t="shared" si="7"/>
        <v>0.052</v>
      </c>
    </row>
    <row r="1003" spans="1:5">
      <c r="A1003" s="2">
        <v>45629</v>
      </c>
      <c r="B1003" s="1">
        <v>37.29</v>
      </c>
      <c r="C1003" s="1">
        <v>50.81</v>
      </c>
      <c r="D1003">
        <f t="shared" si="6"/>
        <v>0.18</v>
      </c>
      <c r="E1003">
        <f t="shared" si="7"/>
        <v>0.109</v>
      </c>
    </row>
    <row r="1004" spans="1:5">
      <c r="A1004" s="2">
        <v>45630</v>
      </c>
      <c r="B1004" s="1">
        <v>38.35</v>
      </c>
      <c r="C1004" s="1">
        <v>51.69</v>
      </c>
      <c r="D1004">
        <f t="shared" si="6"/>
        <v>0.344</v>
      </c>
      <c r="E1004">
        <f t="shared" si="7"/>
        <v>0.2</v>
      </c>
    </row>
    <row r="1005" spans="1:5">
      <c r="A1005" s="2">
        <v>45631</v>
      </c>
      <c r="B1005" s="1">
        <v>38.11</v>
      </c>
      <c r="C1005" s="1">
        <v>51.98</v>
      </c>
      <c r="D1005">
        <f t="shared" si="6"/>
        <v>0.304</v>
      </c>
      <c r="E1005">
        <f t="shared" si="7"/>
        <v>0.236</v>
      </c>
    </row>
    <row r="1006" spans="1:5">
      <c r="A1006" s="2">
        <v>45632</v>
      </c>
      <c r="B1006" s="1">
        <v>37.98</v>
      </c>
      <c r="C1006" s="1">
        <v>51.78</v>
      </c>
      <c r="D1006">
        <f t="shared" si="6"/>
        <v>0.276</v>
      </c>
      <c r="E1006">
        <f t="shared" si="7"/>
        <v>0.214</v>
      </c>
    </row>
    <row r="1007" spans="1:5">
      <c r="A1007" s="2">
        <v>45635</v>
      </c>
      <c r="B1007" s="1">
        <v>36.6</v>
      </c>
      <c r="C1007" s="1">
        <v>50.31</v>
      </c>
      <c r="D1007">
        <f t="shared" ref="D1007:D1070" si="8">PERCENTRANK(B258:B1007,B1007)</f>
        <v>0.113</v>
      </c>
      <c r="E1007">
        <f t="shared" ref="E1007:E1070" si="9">PERCENTRANK(C258:C1007,C1007)</f>
        <v>0.077</v>
      </c>
    </row>
    <row r="1008" spans="1:5">
      <c r="A1008" s="2">
        <v>45636</v>
      </c>
      <c r="B1008" s="1">
        <v>37.25</v>
      </c>
      <c r="C1008" s="1">
        <v>50.48</v>
      </c>
      <c r="D1008">
        <f t="shared" si="8"/>
        <v>0.177</v>
      </c>
      <c r="E1008">
        <f t="shared" si="9"/>
        <v>0.09</v>
      </c>
    </row>
    <row r="1009" spans="1:5">
      <c r="A1009" s="2">
        <v>45637</v>
      </c>
      <c r="B1009" s="1">
        <v>36.39</v>
      </c>
      <c r="C1009" s="1">
        <v>49.83</v>
      </c>
      <c r="D1009">
        <f t="shared" si="8"/>
        <v>0.104</v>
      </c>
      <c r="E1009">
        <f t="shared" si="9"/>
        <v>0.05</v>
      </c>
    </row>
    <row r="1010" spans="1:5">
      <c r="A1010" s="2">
        <v>45638</v>
      </c>
      <c r="B1010" s="1">
        <v>35.07</v>
      </c>
      <c r="C1010" s="1">
        <v>48.83</v>
      </c>
      <c r="D1010">
        <f t="shared" si="8"/>
        <v>0.024</v>
      </c>
      <c r="E1010">
        <f t="shared" si="9"/>
        <v>0.017</v>
      </c>
    </row>
    <row r="1011" spans="1:5">
      <c r="A1011" s="2">
        <v>45639</v>
      </c>
      <c r="B1011" s="1">
        <v>36.67</v>
      </c>
      <c r="C1011" s="1">
        <v>50.61</v>
      </c>
      <c r="D1011">
        <f t="shared" si="8"/>
        <v>0.118</v>
      </c>
      <c r="E1011">
        <f t="shared" si="9"/>
        <v>0.1</v>
      </c>
    </row>
    <row r="1012" spans="1:5">
      <c r="A1012" s="2">
        <v>45642</v>
      </c>
      <c r="B1012" s="1">
        <v>36.74</v>
      </c>
      <c r="C1012" s="1">
        <v>50.69</v>
      </c>
      <c r="D1012">
        <f t="shared" si="8"/>
        <v>0.126</v>
      </c>
      <c r="E1012">
        <f t="shared" si="9"/>
        <v>0.105</v>
      </c>
    </row>
    <row r="1013" spans="1:5">
      <c r="A1013" s="2">
        <v>45643</v>
      </c>
      <c r="B1013" s="1">
        <v>37.01</v>
      </c>
      <c r="C1013" s="1">
        <v>49.89</v>
      </c>
      <c r="D1013">
        <f t="shared" si="8"/>
        <v>0.149</v>
      </c>
      <c r="E1013">
        <f t="shared" si="9"/>
        <v>0.054</v>
      </c>
    </row>
    <row r="1014" spans="1:5">
      <c r="A1014" s="2">
        <v>45644</v>
      </c>
      <c r="B1014" s="1">
        <v>39.55</v>
      </c>
      <c r="C1014" s="1">
        <v>53.2</v>
      </c>
      <c r="D1014">
        <f t="shared" si="8"/>
        <v>0.536</v>
      </c>
      <c r="E1014">
        <f t="shared" si="9"/>
        <v>0.437</v>
      </c>
    </row>
    <row r="1015" spans="1:5">
      <c r="A1015" s="2">
        <v>45645</v>
      </c>
      <c r="B1015" s="1">
        <v>40.9</v>
      </c>
      <c r="C1015" s="1">
        <v>54.57</v>
      </c>
      <c r="D1015">
        <f t="shared" si="8"/>
        <v>0.702</v>
      </c>
      <c r="E1015">
        <f t="shared" si="9"/>
        <v>0.626</v>
      </c>
    </row>
    <row r="1016" spans="1:5">
      <c r="A1016" s="2">
        <v>45646</v>
      </c>
      <c r="B1016" s="1">
        <v>40.28</v>
      </c>
      <c r="C1016" s="1">
        <v>54.2</v>
      </c>
      <c r="D1016">
        <f t="shared" si="8"/>
        <v>0.639</v>
      </c>
      <c r="E1016">
        <f t="shared" si="9"/>
        <v>0.571</v>
      </c>
    </row>
    <row r="1017" spans="1:5">
      <c r="A1017" s="2">
        <v>45649</v>
      </c>
      <c r="B1017" s="1">
        <v>38.35</v>
      </c>
      <c r="C1017" s="1">
        <v>51.69</v>
      </c>
      <c r="D1017">
        <f t="shared" si="8"/>
        <v>0.353</v>
      </c>
      <c r="E1017">
        <f t="shared" si="9"/>
        <v>0.209</v>
      </c>
    </row>
    <row r="1018" spans="1:5">
      <c r="A1018" s="2">
        <v>45650</v>
      </c>
      <c r="B1018" s="1">
        <v>39.9</v>
      </c>
      <c r="C1018" s="1">
        <v>53.58</v>
      </c>
      <c r="D1018">
        <f t="shared" si="8"/>
        <v>0.575</v>
      </c>
      <c r="E1018">
        <f t="shared" si="9"/>
        <v>0.488</v>
      </c>
    </row>
    <row r="1019" spans="1:5">
      <c r="A1019" s="2">
        <v>45651</v>
      </c>
      <c r="B1019" s="1">
        <v>39.79</v>
      </c>
      <c r="C1019" s="1">
        <v>53.7</v>
      </c>
      <c r="D1019">
        <f t="shared" si="8"/>
        <v>0.56</v>
      </c>
      <c r="E1019">
        <f t="shared" si="9"/>
        <v>0.496</v>
      </c>
    </row>
    <row r="1020" spans="1:5">
      <c r="A1020" s="2">
        <v>45652</v>
      </c>
      <c r="B1020" s="1">
        <v>41.88</v>
      </c>
      <c r="C1020" s="1">
        <v>56.12</v>
      </c>
      <c r="D1020">
        <f t="shared" si="8"/>
        <v>0.814</v>
      </c>
      <c r="E1020">
        <f t="shared" si="9"/>
        <v>0.817</v>
      </c>
    </row>
    <row r="1021" spans="1:5">
      <c r="A1021" s="2">
        <v>45653</v>
      </c>
      <c r="B1021" s="1">
        <v>41.36</v>
      </c>
      <c r="C1021" s="1">
        <v>55.07</v>
      </c>
      <c r="D1021">
        <f t="shared" si="8"/>
        <v>0.762</v>
      </c>
      <c r="E1021">
        <f t="shared" si="9"/>
        <v>0.695</v>
      </c>
    </row>
    <row r="1022" spans="1:5">
      <c r="A1022" s="2">
        <v>45656</v>
      </c>
      <c r="B1022" s="1">
        <v>40.64</v>
      </c>
      <c r="C1022" s="1">
        <v>54.48</v>
      </c>
      <c r="D1022">
        <f t="shared" si="8"/>
        <v>0.675</v>
      </c>
      <c r="E1022">
        <f t="shared" si="9"/>
        <v>0.619</v>
      </c>
    </row>
    <row r="1023" spans="1:5">
      <c r="A1023" s="2">
        <v>45657</v>
      </c>
      <c r="B1023" s="1">
        <v>39.96</v>
      </c>
      <c r="C1023" s="1">
        <v>53.65</v>
      </c>
      <c r="D1023">
        <f t="shared" si="8"/>
        <v>0.587</v>
      </c>
      <c r="E1023">
        <f t="shared" si="9"/>
        <v>0.492</v>
      </c>
    </row>
    <row r="1024" spans="1:5">
      <c r="A1024" s="2">
        <v>45659</v>
      </c>
      <c r="B1024" s="1">
        <v>39.5</v>
      </c>
      <c r="C1024" s="1">
        <v>53.31</v>
      </c>
      <c r="D1024">
        <f t="shared" si="8"/>
        <v>0.522</v>
      </c>
      <c r="E1024">
        <f t="shared" si="9"/>
        <v>0.451</v>
      </c>
    </row>
    <row r="1025" spans="1:5">
      <c r="A1025" s="2">
        <v>45660</v>
      </c>
      <c r="B1025" s="1">
        <v>37.27</v>
      </c>
      <c r="C1025" s="1">
        <v>50.96</v>
      </c>
      <c r="D1025">
        <f t="shared" si="8"/>
        <v>0.186</v>
      </c>
      <c r="E1025">
        <f t="shared" si="9"/>
        <v>0.132</v>
      </c>
    </row>
    <row r="1026" spans="1:5">
      <c r="A1026" s="2">
        <v>45663</v>
      </c>
      <c r="B1026" s="1">
        <v>38.25</v>
      </c>
      <c r="C1026" s="1">
        <v>52.26</v>
      </c>
      <c r="D1026">
        <f t="shared" si="8"/>
        <v>0.335</v>
      </c>
      <c r="E1026">
        <f t="shared" si="9"/>
        <v>0.295</v>
      </c>
    </row>
    <row r="1027" spans="1:5">
      <c r="A1027" s="2">
        <v>45664</v>
      </c>
      <c r="B1027" s="1">
        <v>40.94</v>
      </c>
      <c r="C1027" s="1">
        <v>55.08</v>
      </c>
      <c r="D1027">
        <f t="shared" si="8"/>
        <v>0.704</v>
      </c>
      <c r="E1027">
        <f t="shared" si="9"/>
        <v>0.695</v>
      </c>
    </row>
    <row r="1028" spans="1:5">
      <c r="A1028" s="2">
        <v>45665</v>
      </c>
      <c r="B1028" s="1">
        <v>40.06</v>
      </c>
      <c r="C1028" s="1">
        <v>54.32</v>
      </c>
      <c r="D1028">
        <f t="shared" si="8"/>
        <v>0.606</v>
      </c>
      <c r="E1028">
        <f t="shared" si="9"/>
        <v>0.587</v>
      </c>
    </row>
    <row r="1029" spans="1:5">
      <c r="A1029" s="2">
        <v>45666</v>
      </c>
      <c r="B1029" s="1">
        <v>42.22</v>
      </c>
      <c r="C1029" s="1">
        <v>56.52</v>
      </c>
      <c r="D1029">
        <f t="shared" si="8"/>
        <v>0.842</v>
      </c>
      <c r="E1029">
        <f t="shared" si="9"/>
        <v>0.849</v>
      </c>
    </row>
    <row r="1030" spans="1:5">
      <c r="A1030" s="2">
        <v>45667</v>
      </c>
      <c r="B1030" s="1">
        <v>41.88</v>
      </c>
      <c r="C1030" s="1">
        <v>56.17</v>
      </c>
      <c r="D1030">
        <f t="shared" si="8"/>
        <v>0.811</v>
      </c>
      <c r="E1030">
        <f t="shared" si="9"/>
        <v>0.819</v>
      </c>
    </row>
    <row r="1031" spans="1:5">
      <c r="A1031" s="2">
        <v>45670</v>
      </c>
      <c r="B1031" s="1">
        <v>41.65</v>
      </c>
      <c r="C1031" s="1">
        <v>55.6</v>
      </c>
      <c r="D1031">
        <f t="shared" si="8"/>
        <v>0.791</v>
      </c>
      <c r="E1031">
        <f t="shared" si="9"/>
        <v>0.758</v>
      </c>
    </row>
    <row r="1032" spans="1:5">
      <c r="A1032" s="2">
        <v>45671</v>
      </c>
      <c r="B1032" s="1">
        <v>40.84</v>
      </c>
      <c r="C1032" s="1">
        <v>54.52</v>
      </c>
      <c r="D1032">
        <f t="shared" si="8"/>
        <v>0.692</v>
      </c>
      <c r="E1032">
        <f t="shared" si="9"/>
        <v>0.623</v>
      </c>
    </row>
    <row r="1033" spans="1:5">
      <c r="A1033" s="2">
        <v>45672</v>
      </c>
      <c r="B1033" s="1">
        <v>42.21</v>
      </c>
      <c r="C1033" s="1">
        <v>56.39</v>
      </c>
      <c r="D1033">
        <f t="shared" si="8"/>
        <v>0.842</v>
      </c>
      <c r="E1033">
        <f t="shared" si="9"/>
        <v>0.839</v>
      </c>
    </row>
    <row r="1034" spans="1:5">
      <c r="A1034" s="2">
        <v>45673</v>
      </c>
      <c r="B1034" s="1">
        <v>42.89</v>
      </c>
      <c r="C1034" s="1">
        <v>56.62</v>
      </c>
      <c r="D1034">
        <f t="shared" si="8"/>
        <v>0.897</v>
      </c>
      <c r="E1034">
        <f t="shared" si="9"/>
        <v>0.855</v>
      </c>
    </row>
    <row r="1035" spans="1:5">
      <c r="A1035" s="2">
        <v>45674</v>
      </c>
      <c r="B1035" s="1">
        <v>41.54</v>
      </c>
      <c r="C1035" s="1">
        <v>56.09</v>
      </c>
      <c r="D1035">
        <f t="shared" si="8"/>
        <v>0.783</v>
      </c>
      <c r="E1035">
        <f t="shared" si="9"/>
        <v>0.809</v>
      </c>
    </row>
    <row r="1036" spans="1:5">
      <c r="A1036" s="2">
        <v>45677</v>
      </c>
      <c r="B1036" s="1">
        <v>40.45</v>
      </c>
      <c r="C1036" s="1">
        <v>54.66</v>
      </c>
      <c r="D1036">
        <f t="shared" si="8"/>
        <v>0.654</v>
      </c>
      <c r="E1036">
        <f t="shared" si="9"/>
        <v>0.646</v>
      </c>
    </row>
    <row r="1037" spans="1:5">
      <c r="A1037" s="2">
        <v>45678</v>
      </c>
      <c r="B1037" s="1">
        <v>43.4</v>
      </c>
      <c r="C1037" s="1">
        <v>57.82</v>
      </c>
      <c r="D1037">
        <f t="shared" si="8"/>
        <v>0.921</v>
      </c>
      <c r="E1037">
        <f t="shared" si="9"/>
        <v>0.935</v>
      </c>
    </row>
    <row r="1038" spans="1:5">
      <c r="A1038" s="2">
        <v>45679</v>
      </c>
      <c r="B1038" s="1">
        <v>44.93</v>
      </c>
      <c r="C1038" s="1">
        <v>59.08</v>
      </c>
      <c r="D1038">
        <f t="shared" si="8"/>
        <v>0.975</v>
      </c>
      <c r="E1038">
        <f t="shared" si="9"/>
        <v>0.979</v>
      </c>
    </row>
    <row r="1039" spans="1:5">
      <c r="A1039" s="2">
        <v>45680</v>
      </c>
      <c r="B1039" s="1">
        <v>42.94</v>
      </c>
      <c r="C1039" s="1">
        <v>57.41</v>
      </c>
      <c r="D1039">
        <f t="shared" si="8"/>
        <v>0.898</v>
      </c>
      <c r="E1039">
        <f t="shared" si="9"/>
        <v>0.911</v>
      </c>
    </row>
    <row r="1040" spans="1:5">
      <c r="A1040" s="2">
        <v>45681</v>
      </c>
      <c r="B1040" s="1">
        <v>42.13</v>
      </c>
      <c r="C1040" s="1">
        <v>57.02</v>
      </c>
      <c r="D1040">
        <f t="shared" si="8"/>
        <v>0.826</v>
      </c>
      <c r="E1040">
        <f t="shared" si="9"/>
        <v>0.887</v>
      </c>
    </row>
    <row r="1041" spans="1:5">
      <c r="A1041" s="2">
        <v>45684</v>
      </c>
      <c r="B1041" s="1">
        <v>42.18</v>
      </c>
      <c r="C1041" s="1">
        <v>56.31</v>
      </c>
      <c r="D1041">
        <f t="shared" si="8"/>
        <v>0.831</v>
      </c>
      <c r="E1041">
        <f t="shared" si="9"/>
        <v>0.821</v>
      </c>
    </row>
    <row r="1042" spans="1:5">
      <c r="A1042" s="2">
        <v>45693</v>
      </c>
      <c r="B1042" s="1">
        <v>44.7</v>
      </c>
      <c r="C1042" s="1">
        <v>58.69</v>
      </c>
      <c r="D1042">
        <f t="shared" si="8"/>
        <v>0.973</v>
      </c>
      <c r="E1042">
        <f t="shared" si="9"/>
        <v>0.969</v>
      </c>
    </row>
    <row r="1043" spans="1:5">
      <c r="A1043" s="2">
        <v>45694</v>
      </c>
      <c r="B1043" s="1">
        <v>43.7</v>
      </c>
      <c r="C1043" s="1">
        <v>57.79</v>
      </c>
      <c r="D1043">
        <f t="shared" si="8"/>
        <v>0.929</v>
      </c>
      <c r="E1043">
        <f t="shared" si="9"/>
        <v>0.929</v>
      </c>
    </row>
    <row r="1044" spans="1:5">
      <c r="A1044" s="2">
        <v>45695</v>
      </c>
      <c r="B1044" s="1">
        <v>43.55</v>
      </c>
      <c r="C1044" s="1">
        <v>57.29</v>
      </c>
      <c r="D1044">
        <f t="shared" si="8"/>
        <v>0.922</v>
      </c>
      <c r="E1044">
        <f t="shared" si="9"/>
        <v>0.901</v>
      </c>
    </row>
    <row r="1045" spans="1:5">
      <c r="A1045" s="2">
        <v>45698</v>
      </c>
      <c r="B1045" s="1">
        <v>42.34</v>
      </c>
      <c r="C1045" s="1">
        <v>56.04</v>
      </c>
      <c r="D1045">
        <f t="shared" si="8"/>
        <v>0.845</v>
      </c>
      <c r="E1045">
        <f t="shared" si="9"/>
        <v>0.79</v>
      </c>
    </row>
    <row r="1046" spans="1:5">
      <c r="A1046" s="2">
        <v>45699</v>
      </c>
      <c r="B1046" s="1">
        <v>42.68</v>
      </c>
      <c r="C1046" s="1">
        <v>56.62</v>
      </c>
      <c r="D1046">
        <f t="shared" si="8"/>
        <v>0.878</v>
      </c>
      <c r="E1046">
        <f t="shared" si="9"/>
        <v>0.845</v>
      </c>
    </row>
    <row r="1047" spans="1:5">
      <c r="A1047" s="2">
        <v>45700</v>
      </c>
      <c r="B1047" s="1">
        <v>43.02</v>
      </c>
      <c r="C1047" s="1">
        <v>57.27</v>
      </c>
      <c r="D1047">
        <f t="shared" si="8"/>
        <v>0.899</v>
      </c>
      <c r="E1047">
        <f t="shared" si="9"/>
        <v>0.899</v>
      </c>
    </row>
    <row r="1048" spans="1:5">
      <c r="A1048" s="2">
        <v>45701</v>
      </c>
      <c r="B1048" s="1">
        <v>44.04</v>
      </c>
      <c r="C1048" s="1">
        <v>58.25</v>
      </c>
      <c r="D1048">
        <f t="shared" si="8"/>
        <v>0.946</v>
      </c>
      <c r="E1048">
        <f t="shared" si="9"/>
        <v>0.953</v>
      </c>
    </row>
    <row r="1049" spans="1:5">
      <c r="A1049" s="2">
        <v>45702</v>
      </c>
      <c r="B1049" s="1">
        <v>44.06</v>
      </c>
      <c r="C1049" s="1">
        <v>58.29</v>
      </c>
      <c r="D1049">
        <f t="shared" si="8"/>
        <v>0.946</v>
      </c>
      <c r="E1049">
        <f t="shared" si="9"/>
        <v>0.953</v>
      </c>
    </row>
    <row r="1050" spans="1:5">
      <c r="A1050" s="2">
        <v>45705</v>
      </c>
      <c r="B1050" s="1">
        <v>43.24</v>
      </c>
      <c r="C1050" s="1">
        <v>57.55</v>
      </c>
      <c r="D1050">
        <f t="shared" si="8"/>
        <v>0.909</v>
      </c>
      <c r="E1050">
        <f t="shared" si="9"/>
        <v>0.91</v>
      </c>
    </row>
    <row r="1051" spans="1:5">
      <c r="A1051" s="2">
        <v>45706</v>
      </c>
      <c r="B1051" s="1">
        <v>41.54</v>
      </c>
      <c r="C1051" s="1">
        <v>55.87</v>
      </c>
      <c r="D1051">
        <f t="shared" si="8"/>
        <v>0.763</v>
      </c>
      <c r="E1051">
        <f t="shared" si="9"/>
        <v>0.761</v>
      </c>
    </row>
    <row r="1052" spans="1:5">
      <c r="A1052" s="2">
        <v>45707</v>
      </c>
      <c r="B1052" s="1">
        <v>43.42</v>
      </c>
      <c r="C1052" s="1">
        <v>57.58</v>
      </c>
      <c r="D1052">
        <f t="shared" si="8"/>
        <v>0.915</v>
      </c>
      <c r="E1052">
        <f t="shared" si="9"/>
        <v>0.911</v>
      </c>
    </row>
    <row r="1053" spans="1:5">
      <c r="A1053" s="2">
        <v>45708</v>
      </c>
      <c r="B1053" s="1">
        <v>41.29</v>
      </c>
      <c r="C1053" s="1">
        <v>55.48</v>
      </c>
      <c r="D1053">
        <f t="shared" si="8"/>
        <v>0.73</v>
      </c>
      <c r="E1053">
        <f t="shared" si="9"/>
        <v>0.723</v>
      </c>
    </row>
    <row r="1054" spans="1:5">
      <c r="A1054" s="2">
        <v>45709</v>
      </c>
      <c r="B1054" s="1">
        <v>43.5</v>
      </c>
      <c r="C1054" s="1">
        <v>57.57</v>
      </c>
      <c r="D1054">
        <f t="shared" si="8"/>
        <v>0.918</v>
      </c>
      <c r="E1054">
        <f t="shared" si="9"/>
        <v>0.91</v>
      </c>
    </row>
    <row r="1055" spans="1:5">
      <c r="A1055" s="2">
        <v>45712</v>
      </c>
      <c r="B1055" s="1">
        <v>42.09</v>
      </c>
      <c r="C1055" s="1">
        <v>56.39</v>
      </c>
      <c r="D1055">
        <f t="shared" si="8"/>
        <v>0.805</v>
      </c>
      <c r="E1055">
        <f t="shared" si="9"/>
        <v>0.818</v>
      </c>
    </row>
    <row r="1056" spans="1:5">
      <c r="A1056" s="2">
        <v>45713</v>
      </c>
      <c r="B1056" s="1">
        <v>42.48</v>
      </c>
      <c r="C1056" s="1">
        <v>56.82</v>
      </c>
      <c r="D1056">
        <f t="shared" si="8"/>
        <v>0.849</v>
      </c>
      <c r="E1056">
        <f t="shared" si="9"/>
        <v>0.861</v>
      </c>
    </row>
    <row r="1057" spans="1:5">
      <c r="A1057" s="2">
        <v>45714</v>
      </c>
      <c r="B1057" s="1">
        <v>40.36</v>
      </c>
      <c r="C1057" s="1">
        <v>54.93</v>
      </c>
      <c r="D1057">
        <f t="shared" si="8"/>
        <v>0.616</v>
      </c>
      <c r="E1057">
        <f t="shared" si="9"/>
        <v>0.652</v>
      </c>
    </row>
    <row r="1058" spans="1:5">
      <c r="A1058" s="2">
        <v>45715</v>
      </c>
      <c r="B1058" s="1">
        <v>40.11</v>
      </c>
      <c r="C1058" s="1">
        <v>54.49</v>
      </c>
      <c r="D1058">
        <f t="shared" si="8"/>
        <v>0.582</v>
      </c>
      <c r="E1058">
        <f t="shared" si="9"/>
        <v>0.588</v>
      </c>
    </row>
    <row r="1059" spans="1:5">
      <c r="A1059" s="2">
        <v>45716</v>
      </c>
      <c r="B1059" s="1">
        <v>38.95</v>
      </c>
      <c r="C1059" s="1">
        <v>53.04</v>
      </c>
      <c r="D1059">
        <f t="shared" si="8"/>
        <v>0.412</v>
      </c>
      <c r="E1059">
        <f t="shared" si="9"/>
        <v>0.389</v>
      </c>
    </row>
    <row r="1060" spans="1:5">
      <c r="A1060" s="2">
        <v>45719</v>
      </c>
      <c r="B1060" s="1">
        <v>38.04</v>
      </c>
      <c r="C1060" s="1">
        <v>52.56</v>
      </c>
      <c r="D1060">
        <f t="shared" si="8"/>
        <v>0.261</v>
      </c>
      <c r="E1060">
        <f t="shared" si="9"/>
        <v>0.313</v>
      </c>
    </row>
    <row r="1061" spans="1:5">
      <c r="A1061" s="2">
        <v>45720</v>
      </c>
      <c r="B1061" s="1">
        <v>38.61</v>
      </c>
      <c r="C1061" s="1">
        <v>53.45</v>
      </c>
      <c r="D1061">
        <f t="shared" si="8"/>
        <v>0.355</v>
      </c>
      <c r="E1061">
        <f t="shared" si="9"/>
        <v>0.435</v>
      </c>
    </row>
    <row r="1062" spans="1:5">
      <c r="A1062" s="2">
        <v>45721</v>
      </c>
      <c r="B1062" s="1">
        <v>38.67</v>
      </c>
      <c r="C1062" s="1">
        <v>53.42</v>
      </c>
      <c r="D1062">
        <f t="shared" si="8"/>
        <v>0.36</v>
      </c>
      <c r="E1062">
        <f t="shared" si="9"/>
        <v>0.433</v>
      </c>
    </row>
    <row r="1063" spans="1:5">
      <c r="A1063" s="2">
        <v>45722</v>
      </c>
      <c r="B1063" s="1">
        <v>39.25</v>
      </c>
      <c r="C1063" s="1">
        <v>53.65</v>
      </c>
      <c r="D1063">
        <f t="shared" si="8"/>
        <v>0.457</v>
      </c>
      <c r="E1063">
        <f t="shared" si="9"/>
        <v>0.46</v>
      </c>
    </row>
    <row r="1064" spans="1:5">
      <c r="A1064" s="2">
        <v>45723</v>
      </c>
      <c r="B1064" s="1">
        <v>38.94</v>
      </c>
      <c r="C1064" s="1">
        <v>53.37</v>
      </c>
      <c r="D1064">
        <f t="shared" si="8"/>
        <v>0.412</v>
      </c>
      <c r="E1064">
        <f t="shared" si="9"/>
        <v>0.424</v>
      </c>
    </row>
    <row r="1065" spans="1:5">
      <c r="A1065" s="2">
        <v>45726</v>
      </c>
      <c r="B1065" s="1">
        <v>37.08</v>
      </c>
      <c r="C1065" s="1">
        <v>51.42</v>
      </c>
      <c r="D1065">
        <f t="shared" si="8"/>
        <v>0.148</v>
      </c>
      <c r="E1065">
        <f t="shared" si="9"/>
        <v>0.17</v>
      </c>
    </row>
    <row r="1066" spans="1:5">
      <c r="A1066" s="2">
        <v>45727</v>
      </c>
      <c r="B1066" s="1">
        <v>37.23</v>
      </c>
      <c r="C1066" s="1">
        <v>51.52</v>
      </c>
      <c r="D1066">
        <f t="shared" si="8"/>
        <v>0.166</v>
      </c>
      <c r="E1066">
        <f t="shared" si="9"/>
        <v>0.176</v>
      </c>
    </row>
    <row r="1067" spans="1:5">
      <c r="A1067" s="2">
        <v>45728</v>
      </c>
      <c r="B1067" s="1">
        <v>36.76</v>
      </c>
      <c r="C1067" s="1">
        <v>51.28</v>
      </c>
      <c r="D1067">
        <f t="shared" si="8"/>
        <v>0.113</v>
      </c>
      <c r="E1067">
        <f t="shared" si="9"/>
        <v>0.152</v>
      </c>
    </row>
    <row r="1068" spans="1:5">
      <c r="A1068" s="2">
        <v>45729</v>
      </c>
      <c r="B1068" s="1">
        <v>35.72</v>
      </c>
      <c r="C1068" s="1">
        <v>50.24</v>
      </c>
      <c r="D1068">
        <f t="shared" si="8"/>
        <v>0.05</v>
      </c>
      <c r="E1068">
        <f t="shared" si="9"/>
        <v>0.073</v>
      </c>
    </row>
    <row r="1069" spans="1:5">
      <c r="A1069" s="2">
        <v>45730</v>
      </c>
      <c r="B1069" s="1">
        <v>38.06</v>
      </c>
      <c r="C1069" s="1">
        <v>51.91</v>
      </c>
      <c r="D1069">
        <f t="shared" si="8"/>
        <v>0.272</v>
      </c>
      <c r="E1069">
        <f t="shared" si="9"/>
        <v>0.224</v>
      </c>
    </row>
    <row r="1070" spans="1:5">
      <c r="A1070" s="2">
        <v>45733</v>
      </c>
      <c r="B1070" s="1">
        <v>35.74</v>
      </c>
      <c r="C1070" s="1">
        <v>49.66</v>
      </c>
      <c r="D1070">
        <f t="shared" si="8"/>
        <v>0.052</v>
      </c>
      <c r="E1070">
        <f t="shared" si="9"/>
        <v>0.046</v>
      </c>
    </row>
    <row r="1071" spans="1:5">
      <c r="A1071" s="2">
        <v>45734</v>
      </c>
      <c r="B1071" s="1">
        <v>36.28</v>
      </c>
      <c r="C1071" s="1">
        <v>50.05</v>
      </c>
      <c r="D1071">
        <f t="shared" ref="D1071:D1134" si="10">PERCENTRANK(B322:B1071,B1071)</f>
        <v>0.089</v>
      </c>
      <c r="E1071">
        <f t="shared" ref="E1071:E1134" si="11">PERCENTRANK(C322:C1071,C1071)</f>
        <v>0.065</v>
      </c>
    </row>
    <row r="1072" spans="1:5">
      <c r="A1072" s="2">
        <v>45735</v>
      </c>
      <c r="B1072" s="1">
        <v>36.44</v>
      </c>
      <c r="C1072" s="1">
        <v>50.47</v>
      </c>
      <c r="D1072">
        <f t="shared" si="10"/>
        <v>0.1</v>
      </c>
      <c r="E1072">
        <f t="shared" si="11"/>
        <v>0.09</v>
      </c>
    </row>
    <row r="1073" spans="1:5">
      <c r="A1073" s="2">
        <v>45736</v>
      </c>
      <c r="B1073" s="1">
        <v>35.68</v>
      </c>
      <c r="C1073" s="1">
        <v>50.2</v>
      </c>
      <c r="D1073">
        <f t="shared" si="10"/>
        <v>0.046</v>
      </c>
      <c r="E1073">
        <f t="shared" si="11"/>
        <v>0.072</v>
      </c>
    </row>
    <row r="1074" spans="1:5">
      <c r="A1074" s="2">
        <v>45737</v>
      </c>
      <c r="B1074" s="1">
        <v>34.75</v>
      </c>
      <c r="C1074" s="1">
        <v>49.05</v>
      </c>
      <c r="D1074">
        <f t="shared" si="10"/>
        <v>0.009</v>
      </c>
      <c r="E1074">
        <f t="shared" si="11"/>
        <v>0.024</v>
      </c>
    </row>
    <row r="1075" spans="1:5">
      <c r="A1075" s="2">
        <v>45740</v>
      </c>
      <c r="B1075" s="1">
        <v>32.66</v>
      </c>
      <c r="C1075" s="1">
        <v>46.59</v>
      </c>
      <c r="D1075">
        <f t="shared" si="10"/>
        <v>0.001</v>
      </c>
      <c r="E1075">
        <f t="shared" si="11"/>
        <v>0.001</v>
      </c>
    </row>
    <row r="1076" spans="1:5">
      <c r="A1076" s="2">
        <v>45741</v>
      </c>
      <c r="B1076" s="1">
        <v>34.87</v>
      </c>
      <c r="C1076" s="1">
        <v>49.27</v>
      </c>
      <c r="D1076">
        <f t="shared" si="10"/>
        <v>0.016</v>
      </c>
      <c r="E1076">
        <f t="shared" si="11"/>
        <v>0.038</v>
      </c>
    </row>
    <row r="1077" spans="1:5">
      <c r="A1077" s="2">
        <v>45742</v>
      </c>
      <c r="B1077" s="1">
        <v>35.04</v>
      </c>
      <c r="C1077" s="1">
        <v>48.94</v>
      </c>
      <c r="D1077">
        <f t="shared" si="10"/>
        <v>0.025</v>
      </c>
      <c r="E1077">
        <f t="shared" si="11"/>
        <v>0.022</v>
      </c>
    </row>
    <row r="1078" spans="1:5">
      <c r="A1078" s="2">
        <v>45743</v>
      </c>
      <c r="B1078" s="1">
        <v>34.06</v>
      </c>
      <c r="C1078" s="1">
        <v>48.21</v>
      </c>
      <c r="D1078">
        <f t="shared" si="10"/>
        <v>0.004</v>
      </c>
      <c r="E1078">
        <f t="shared" si="11"/>
        <v>0.01</v>
      </c>
    </row>
    <row r="1079" spans="1:5">
      <c r="A1079" s="2">
        <v>45744</v>
      </c>
      <c r="B1079" s="1">
        <v>33.2</v>
      </c>
      <c r="C1079" s="1">
        <v>47.21</v>
      </c>
      <c r="D1079">
        <f t="shared" si="10"/>
        <v>0.002</v>
      </c>
      <c r="E1079">
        <f t="shared" si="11"/>
        <v>0.002</v>
      </c>
    </row>
    <row r="1080" spans="1:5">
      <c r="A1080" s="2">
        <v>45747</v>
      </c>
      <c r="B1080" s="1">
        <v>34.67</v>
      </c>
      <c r="C1080" s="1">
        <v>48.76</v>
      </c>
      <c r="D1080">
        <f t="shared" si="10"/>
        <v>0.012</v>
      </c>
      <c r="E1080">
        <f t="shared" si="11"/>
        <v>0.021</v>
      </c>
    </row>
    <row r="1081" spans="1:5">
      <c r="A1081" s="2">
        <v>45748</v>
      </c>
      <c r="B1081" s="1">
        <v>34.01</v>
      </c>
      <c r="C1081" s="1">
        <v>48.3</v>
      </c>
      <c r="D1081">
        <f t="shared" si="10"/>
        <v>0.005</v>
      </c>
      <c r="E1081">
        <f t="shared" si="11"/>
        <v>0.014</v>
      </c>
    </row>
    <row r="1082" spans="1:5">
      <c r="A1082" s="2">
        <v>45749</v>
      </c>
      <c r="B1082" s="1">
        <v>34.76</v>
      </c>
      <c r="C1082" s="1">
        <v>48.88</v>
      </c>
      <c r="D1082">
        <f t="shared" si="10"/>
        <v>0.017</v>
      </c>
      <c r="E1082">
        <f t="shared" si="11"/>
        <v>0.026</v>
      </c>
    </row>
    <row r="1083" spans="1:5">
      <c r="A1083" s="2">
        <v>45750</v>
      </c>
      <c r="B1083" s="1">
        <v>35.78</v>
      </c>
      <c r="C1083" s="1">
        <v>49.56</v>
      </c>
      <c r="D1083">
        <f t="shared" si="10"/>
        <v>0.072</v>
      </c>
      <c r="E1083">
        <f t="shared" si="11"/>
        <v>0.056</v>
      </c>
    </row>
    <row r="1084" spans="1:5">
      <c r="A1084" s="2">
        <v>45754</v>
      </c>
      <c r="B1084" s="1">
        <v>38.77</v>
      </c>
      <c r="C1084" s="1">
        <v>51.78</v>
      </c>
      <c r="D1084">
        <f t="shared" si="10"/>
        <v>0.407</v>
      </c>
      <c r="E1084">
        <f t="shared" si="11"/>
        <v>0.229</v>
      </c>
    </row>
    <row r="1085" spans="1:5">
      <c r="A1085" s="2">
        <v>45755</v>
      </c>
      <c r="B1085" s="1">
        <v>35.89</v>
      </c>
      <c r="C1085" s="1">
        <v>49.36</v>
      </c>
      <c r="D1085">
        <f t="shared" si="10"/>
        <v>0.08</v>
      </c>
      <c r="E1085">
        <f t="shared" si="11"/>
        <v>0.049</v>
      </c>
    </row>
    <row r="1086" spans="1:5">
      <c r="A1086" s="2">
        <v>45756</v>
      </c>
      <c r="B1086" s="1">
        <v>36.26</v>
      </c>
      <c r="C1086" s="1">
        <v>49.87</v>
      </c>
      <c r="D1086">
        <f t="shared" si="10"/>
        <v>0.102</v>
      </c>
      <c r="E1086">
        <f t="shared" si="11"/>
        <v>0.068</v>
      </c>
    </row>
    <row r="1087" spans="1:5">
      <c r="A1087" s="2">
        <v>45757</v>
      </c>
      <c r="B1087" s="1">
        <v>36.24</v>
      </c>
      <c r="C1087" s="1">
        <v>50</v>
      </c>
      <c r="D1087">
        <f t="shared" si="10"/>
        <v>0.1</v>
      </c>
      <c r="E1087">
        <f t="shared" si="11"/>
        <v>0.08</v>
      </c>
    </row>
    <row r="1088" spans="1:5">
      <c r="A1088" s="2">
        <v>45758</v>
      </c>
      <c r="B1088" s="1">
        <v>37.04</v>
      </c>
      <c r="C1088" s="1">
        <v>50.92</v>
      </c>
      <c r="D1088">
        <f t="shared" si="10"/>
        <v>0.162</v>
      </c>
      <c r="E1088">
        <f t="shared" si="11"/>
        <v>0.14</v>
      </c>
    </row>
    <row r="1089" spans="1:5">
      <c r="A1089" s="2">
        <v>45761</v>
      </c>
      <c r="B1089" s="1">
        <v>35.79</v>
      </c>
      <c r="C1089" s="1">
        <v>49.4</v>
      </c>
      <c r="D1089">
        <f t="shared" si="10"/>
        <v>0.076</v>
      </c>
      <c r="E1089">
        <f t="shared" si="11"/>
        <v>0.053</v>
      </c>
    </row>
    <row r="1090" spans="1:5">
      <c r="A1090" s="2">
        <v>45762</v>
      </c>
      <c r="B1090" s="1">
        <v>34.82</v>
      </c>
      <c r="C1090" s="1">
        <v>49.02</v>
      </c>
      <c r="D1090">
        <f t="shared" si="10"/>
        <v>0.021</v>
      </c>
      <c r="E1090">
        <f t="shared" si="11"/>
        <v>0.033</v>
      </c>
    </row>
    <row r="1091" spans="1:5">
      <c r="A1091" s="2">
        <v>45763</v>
      </c>
      <c r="B1091" s="1">
        <v>35.59</v>
      </c>
      <c r="C1091" s="1">
        <v>49.52</v>
      </c>
      <c r="D1091">
        <f t="shared" si="10"/>
        <v>0.057</v>
      </c>
      <c r="E1091">
        <f t="shared" si="11"/>
        <v>0.058</v>
      </c>
    </row>
    <row r="1092" spans="1:5">
      <c r="A1092" s="2">
        <v>45764</v>
      </c>
      <c r="B1092" s="1">
        <v>35.42</v>
      </c>
      <c r="C1092" s="1">
        <v>49.71</v>
      </c>
      <c r="D1092">
        <f t="shared" si="10"/>
        <v>0.054</v>
      </c>
      <c r="E1092">
        <f t="shared" si="11"/>
        <v>0.069</v>
      </c>
    </row>
    <row r="1093" spans="1:5">
      <c r="A1093" s="2">
        <v>45765</v>
      </c>
      <c r="B1093" s="1">
        <v>34.56</v>
      </c>
      <c r="C1093" s="1">
        <v>48.87</v>
      </c>
      <c r="D1093">
        <f t="shared" si="10"/>
        <v>0.012</v>
      </c>
      <c r="E1093">
        <f t="shared" si="11"/>
        <v>0.026</v>
      </c>
    </row>
    <row r="1094" spans="1:5">
      <c r="A1094" s="2">
        <v>45768</v>
      </c>
      <c r="B1094" s="1">
        <v>34.67</v>
      </c>
      <c r="C1094" s="1">
        <v>48.8</v>
      </c>
      <c r="D1094">
        <f t="shared" si="10"/>
        <v>0.014</v>
      </c>
      <c r="E1094">
        <f t="shared" si="11"/>
        <v>0.024</v>
      </c>
    </row>
    <row r="1095" spans="1:5">
      <c r="A1095" s="2">
        <v>45769</v>
      </c>
      <c r="B1095" s="1">
        <v>34.68</v>
      </c>
      <c r="C1095" s="1">
        <v>48.61</v>
      </c>
      <c r="D1095">
        <f t="shared" si="10"/>
        <v>0.017</v>
      </c>
      <c r="E1095">
        <f t="shared" si="11"/>
        <v>0.02</v>
      </c>
    </row>
    <row r="1096" spans="1:5">
      <c r="A1096" s="2">
        <v>45770</v>
      </c>
      <c r="B1096" s="1">
        <v>36.19</v>
      </c>
      <c r="C1096" s="1">
        <v>50.15</v>
      </c>
      <c r="D1096">
        <f t="shared" si="10"/>
        <v>0.109</v>
      </c>
      <c r="E1096">
        <f t="shared" si="11"/>
        <v>0.097</v>
      </c>
    </row>
    <row r="1097" spans="1:5">
      <c r="A1097" s="2">
        <v>45771</v>
      </c>
      <c r="B1097" s="1">
        <v>33.71</v>
      </c>
      <c r="C1097" s="1">
        <v>47.72</v>
      </c>
      <c r="D1097">
        <f t="shared" si="10"/>
        <v>0.004</v>
      </c>
      <c r="E1097">
        <f t="shared" si="11"/>
        <v>0.008</v>
      </c>
    </row>
    <row r="1098" spans="1:5">
      <c r="A1098" s="2">
        <v>45772</v>
      </c>
      <c r="B1098" s="1">
        <v>34.86</v>
      </c>
      <c r="C1098" s="1">
        <v>48.99</v>
      </c>
      <c r="D1098">
        <f t="shared" si="10"/>
        <v>0.029</v>
      </c>
      <c r="E1098">
        <f t="shared" si="11"/>
        <v>0.038</v>
      </c>
    </row>
    <row r="1099" spans="1:5">
      <c r="A1099" s="2">
        <v>45775</v>
      </c>
      <c r="B1099" s="1">
        <v>33.23</v>
      </c>
      <c r="C1099" s="1">
        <v>47.28</v>
      </c>
      <c r="D1099">
        <f t="shared" si="10"/>
        <v>0.004</v>
      </c>
      <c r="E1099">
        <f t="shared" si="11"/>
        <v>0.005</v>
      </c>
    </row>
    <row r="1100" spans="1:5">
      <c r="A1100" s="2">
        <v>45776</v>
      </c>
      <c r="B1100" s="1">
        <v>33.76</v>
      </c>
      <c r="C1100" s="1">
        <v>48.2</v>
      </c>
      <c r="D1100">
        <f t="shared" si="10"/>
        <v>0.006</v>
      </c>
      <c r="E1100">
        <f t="shared" si="11"/>
        <v>0.014</v>
      </c>
    </row>
    <row r="1101" spans="1:5">
      <c r="A1101" s="2">
        <v>45777</v>
      </c>
      <c r="B1101" s="1">
        <v>34.81</v>
      </c>
      <c r="C1101" s="1">
        <v>49.41</v>
      </c>
      <c r="D1101">
        <f t="shared" si="10"/>
        <v>0.028</v>
      </c>
      <c r="E1101">
        <f t="shared" si="11"/>
        <v>0.065</v>
      </c>
    </row>
    <row r="1102" spans="1:5">
      <c r="A1102" s="2">
        <v>45783</v>
      </c>
      <c r="B1102" s="1">
        <v>33.95</v>
      </c>
      <c r="C1102" s="1">
        <v>48.09</v>
      </c>
      <c r="D1102">
        <f t="shared" si="10"/>
        <v>0.009</v>
      </c>
      <c r="E1102">
        <f t="shared" si="11"/>
        <v>0.012</v>
      </c>
    </row>
    <row r="1103" spans="1:5">
      <c r="A1103" s="2">
        <v>45784</v>
      </c>
      <c r="B1103" s="1">
        <v>34.2</v>
      </c>
      <c r="C1103" s="1">
        <v>48.12</v>
      </c>
      <c r="D1103">
        <f t="shared" si="10"/>
        <v>0.013</v>
      </c>
      <c r="E1103">
        <f t="shared" si="11"/>
        <v>0.014</v>
      </c>
    </row>
    <row r="1104" spans="1:5">
      <c r="A1104" s="2">
        <v>45785</v>
      </c>
      <c r="B1104" s="1">
        <v>34.95</v>
      </c>
      <c r="C1104" s="1">
        <v>49.02</v>
      </c>
      <c r="D1104">
        <f t="shared" si="10"/>
        <v>0.041</v>
      </c>
      <c r="E1104">
        <f t="shared" si="11"/>
        <v>0.045</v>
      </c>
    </row>
    <row r="1105" spans="1:5">
      <c r="A1105" s="2">
        <v>45786</v>
      </c>
      <c r="B1105" s="1">
        <v>34.55</v>
      </c>
      <c r="C1105" s="1">
        <v>48.49</v>
      </c>
      <c r="D1105">
        <f t="shared" si="10"/>
        <v>0.018</v>
      </c>
      <c r="E1105">
        <f t="shared" si="11"/>
        <v>0.026</v>
      </c>
    </row>
    <row r="1106" spans="1:5">
      <c r="A1106" s="2">
        <v>45789</v>
      </c>
      <c r="B1106" s="1">
        <v>36.71</v>
      </c>
      <c r="C1106" s="1">
        <v>50.28</v>
      </c>
      <c r="D1106">
        <f t="shared" si="10"/>
        <v>0.154</v>
      </c>
      <c r="E1106">
        <f t="shared" si="11"/>
        <v>0.121</v>
      </c>
    </row>
    <row r="1107" spans="1:5">
      <c r="A1107" s="2">
        <v>45790</v>
      </c>
      <c r="B1107" s="1">
        <v>34.85</v>
      </c>
      <c r="C1107" s="1">
        <v>49.05</v>
      </c>
      <c r="D1107">
        <f t="shared" si="10"/>
        <v>0.036</v>
      </c>
      <c r="E1107">
        <f t="shared" si="11"/>
        <v>0.049</v>
      </c>
    </row>
    <row r="1108" spans="1:5">
      <c r="A1108" s="2">
        <v>45791</v>
      </c>
      <c r="B1108" s="1">
        <v>37.05</v>
      </c>
      <c r="C1108" s="1">
        <v>51.38</v>
      </c>
      <c r="D1108">
        <f t="shared" si="10"/>
        <v>0.193</v>
      </c>
      <c r="E1108">
        <f t="shared" si="11"/>
        <v>0.214</v>
      </c>
    </row>
    <row r="1109" spans="1:5">
      <c r="A1109" s="2">
        <v>45792</v>
      </c>
      <c r="B1109" s="1">
        <v>35.31</v>
      </c>
      <c r="C1109" s="1">
        <v>49.54</v>
      </c>
      <c r="D1109">
        <f t="shared" si="10"/>
        <v>0.065</v>
      </c>
      <c r="E1109">
        <f t="shared" si="11"/>
        <v>0.077</v>
      </c>
    </row>
    <row r="1110" spans="1:5">
      <c r="A1110" s="2">
        <v>45793</v>
      </c>
      <c r="B1110" s="1">
        <v>34.23</v>
      </c>
      <c r="C1110" s="1">
        <v>48.62</v>
      </c>
      <c r="D1110">
        <f t="shared" si="10"/>
        <v>0.014</v>
      </c>
      <c r="E1110">
        <f t="shared" si="11"/>
        <v>0.029</v>
      </c>
    </row>
    <row r="1111" spans="1:5">
      <c r="A1111" s="2">
        <v>45796</v>
      </c>
      <c r="B1111" s="1">
        <v>32.13</v>
      </c>
      <c r="C1111" s="1">
        <v>46.12</v>
      </c>
      <c r="D1111">
        <f t="shared" si="10"/>
        <v>0.001</v>
      </c>
      <c r="E1111">
        <f t="shared" si="11"/>
        <v>0.001</v>
      </c>
    </row>
    <row r="1112" spans="1:5">
      <c r="A1112" s="2">
        <v>45797</v>
      </c>
      <c r="B1112" s="1">
        <v>32.65</v>
      </c>
      <c r="C1112" s="1">
        <v>46.64</v>
      </c>
      <c r="D1112">
        <f t="shared" si="10"/>
        <v>0.002</v>
      </c>
      <c r="E1112">
        <f t="shared" si="11"/>
        <v>0.004</v>
      </c>
    </row>
    <row r="1113" spans="1:5">
      <c r="A1113" s="2">
        <v>45798</v>
      </c>
      <c r="B1113" s="1">
        <v>33.88</v>
      </c>
      <c r="C1113" s="1">
        <v>47.73</v>
      </c>
      <c r="D1113">
        <f t="shared" si="10"/>
        <v>0.01</v>
      </c>
      <c r="E1113">
        <f t="shared" si="11"/>
        <v>0.013</v>
      </c>
    </row>
    <row r="1114" spans="1:5">
      <c r="A1114" s="2">
        <v>45799</v>
      </c>
      <c r="B1114" s="1">
        <v>32.06</v>
      </c>
      <c r="C1114" s="1">
        <v>46</v>
      </c>
      <c r="D1114">
        <f t="shared" si="10"/>
        <v>0.001</v>
      </c>
      <c r="E1114">
        <f t="shared" si="11"/>
        <v>0.001</v>
      </c>
    </row>
    <row r="1115" spans="1:5">
      <c r="A1115" s="2">
        <v>45800</v>
      </c>
      <c r="B1115" s="1">
        <v>33.05</v>
      </c>
      <c r="C1115" s="1">
        <v>46.97</v>
      </c>
      <c r="D1115">
        <f t="shared" si="10"/>
        <v>0.006</v>
      </c>
      <c r="E1115">
        <f t="shared" si="11"/>
        <v>0.006</v>
      </c>
    </row>
    <row r="1116" spans="1:5">
      <c r="A1116" s="2">
        <v>45803</v>
      </c>
      <c r="B1116" s="1">
        <v>35.18</v>
      </c>
      <c r="C1116" s="1">
        <v>48.97</v>
      </c>
      <c r="D1116">
        <f t="shared" si="10"/>
        <v>0.068</v>
      </c>
      <c r="E1116">
        <f t="shared" si="11"/>
        <v>0.053</v>
      </c>
    </row>
    <row r="1117" spans="1:5">
      <c r="A1117" s="2">
        <v>45804</v>
      </c>
      <c r="B1117" s="1">
        <v>34.19</v>
      </c>
      <c r="C1117" s="1">
        <v>48.22</v>
      </c>
      <c r="D1117">
        <f t="shared" si="10"/>
        <v>0.02</v>
      </c>
      <c r="E1117">
        <f t="shared" si="11"/>
        <v>0.026</v>
      </c>
    </row>
    <row r="1118" spans="1:5">
      <c r="A1118" s="2">
        <v>45805</v>
      </c>
      <c r="B1118" s="1">
        <v>34.86</v>
      </c>
      <c r="C1118" s="1">
        <v>49.08</v>
      </c>
      <c r="D1118">
        <f t="shared" si="10"/>
        <v>0.048</v>
      </c>
      <c r="E1118">
        <f t="shared" si="11"/>
        <v>0.064</v>
      </c>
    </row>
    <row r="1119" spans="1:5">
      <c r="A1119" s="2">
        <v>45806</v>
      </c>
      <c r="B1119" s="1">
        <v>32.78</v>
      </c>
      <c r="C1119" s="1">
        <v>46.89</v>
      </c>
      <c r="D1119">
        <f t="shared" si="10"/>
        <v>0.006</v>
      </c>
      <c r="E1119">
        <f t="shared" si="11"/>
        <v>0.006</v>
      </c>
    </row>
    <row r="1120" spans="1:5">
      <c r="A1120" s="2">
        <v>45807</v>
      </c>
      <c r="B1120" s="1">
        <v>33.54</v>
      </c>
      <c r="C1120" s="1">
        <v>47.63</v>
      </c>
      <c r="D1120">
        <f t="shared" si="10"/>
        <v>0.012</v>
      </c>
      <c r="E1120">
        <f t="shared" si="11"/>
        <v>0.014</v>
      </c>
    </row>
    <row r="1121" spans="1:5">
      <c r="A1121" s="2">
        <v>45811</v>
      </c>
      <c r="B1121" s="1">
        <v>34.13</v>
      </c>
      <c r="C1121" s="1">
        <v>48.36</v>
      </c>
      <c r="D1121">
        <f t="shared" si="10"/>
        <v>0.022</v>
      </c>
      <c r="E1121">
        <f t="shared" si="11"/>
        <v>0.033</v>
      </c>
    </row>
    <row r="1122" spans="1:5">
      <c r="A1122" s="2">
        <v>45812</v>
      </c>
      <c r="B1122" s="1">
        <v>33.31</v>
      </c>
      <c r="C1122" s="1">
        <v>47.23</v>
      </c>
      <c r="D1122">
        <f t="shared" si="10"/>
        <v>0.012</v>
      </c>
      <c r="E1122">
        <f t="shared" si="11"/>
        <v>0.012</v>
      </c>
    </row>
    <row r="1123" spans="1:5">
      <c r="A1123" s="2">
        <v>45813</v>
      </c>
      <c r="B1123" s="1">
        <v>34.55</v>
      </c>
      <c r="C1123" s="1">
        <v>48.62</v>
      </c>
      <c r="D1123">
        <f t="shared" si="10"/>
        <v>0.033</v>
      </c>
      <c r="E1123">
        <f t="shared" si="11"/>
        <v>0.042</v>
      </c>
    </row>
    <row r="1124" spans="1:5">
      <c r="A1124" s="2">
        <v>45814</v>
      </c>
      <c r="B1124" s="1">
        <v>33.87</v>
      </c>
      <c r="C1124" s="1">
        <v>48.18</v>
      </c>
      <c r="D1124">
        <f t="shared" si="10"/>
        <v>0.017</v>
      </c>
      <c r="E1124">
        <f t="shared" si="11"/>
        <v>0.028</v>
      </c>
    </row>
    <row r="1125" spans="1:5">
      <c r="A1125" s="2">
        <v>45817</v>
      </c>
      <c r="B1125" s="1">
        <v>34.11</v>
      </c>
      <c r="C1125" s="1">
        <v>47.97</v>
      </c>
      <c r="D1125">
        <f t="shared" si="10"/>
        <v>0.025</v>
      </c>
      <c r="E1125">
        <f t="shared" si="11"/>
        <v>0.022</v>
      </c>
    </row>
    <row r="1126" spans="1:5">
      <c r="A1126" s="2">
        <v>45818</v>
      </c>
      <c r="B1126" s="1">
        <v>32.17</v>
      </c>
      <c r="C1126" s="1">
        <v>45.96</v>
      </c>
      <c r="D1126">
        <f t="shared" si="10"/>
        <v>0.004</v>
      </c>
      <c r="E1126">
        <f t="shared" si="11"/>
        <v>0.001</v>
      </c>
    </row>
    <row r="1127" spans="1:5">
      <c r="A1127" s="2">
        <v>45819</v>
      </c>
      <c r="B1127" s="1">
        <v>35.43</v>
      </c>
      <c r="C1127" s="1">
        <v>49.4</v>
      </c>
      <c r="D1127">
        <f t="shared" si="10"/>
        <v>0.097</v>
      </c>
      <c r="E1127">
        <f t="shared" si="11"/>
        <v>0.093</v>
      </c>
    </row>
    <row r="1128" spans="1:5">
      <c r="A1128" s="2">
        <v>45820</v>
      </c>
      <c r="B1128" s="1">
        <v>34.92</v>
      </c>
      <c r="C1128" s="1">
        <v>49.08</v>
      </c>
      <c r="D1128">
        <f t="shared" si="10"/>
        <v>0.065</v>
      </c>
      <c r="E1128">
        <f t="shared" si="11"/>
        <v>0.074</v>
      </c>
    </row>
    <row r="1129" spans="1:5">
      <c r="A1129" s="2">
        <v>45821</v>
      </c>
      <c r="B1129" s="1">
        <v>33.05</v>
      </c>
      <c r="C1129" s="1">
        <v>47.1</v>
      </c>
      <c r="D1129">
        <f t="shared" si="10"/>
        <v>0.009</v>
      </c>
      <c r="E1129">
        <f t="shared" si="11"/>
        <v>0.01</v>
      </c>
    </row>
    <row r="1130" spans="1:5">
      <c r="A1130" s="2">
        <v>45824</v>
      </c>
      <c r="B1130" s="1">
        <v>36.06</v>
      </c>
      <c r="C1130" s="1">
        <v>50.21</v>
      </c>
      <c r="D1130">
        <f t="shared" si="10"/>
        <v>0.144</v>
      </c>
      <c r="E1130">
        <f t="shared" si="11"/>
        <v>0.142</v>
      </c>
    </row>
    <row r="1131" spans="1:5">
      <c r="A1131" s="2">
        <v>45825</v>
      </c>
      <c r="B1131" s="1">
        <v>35.78</v>
      </c>
      <c r="C1131" s="1">
        <v>50.33</v>
      </c>
      <c r="D1131">
        <f t="shared" si="10"/>
        <v>0.121</v>
      </c>
      <c r="E1131">
        <f t="shared" si="11"/>
        <v>0.158</v>
      </c>
    </row>
    <row r="1132" spans="1:5">
      <c r="A1132" s="2">
        <v>45826</v>
      </c>
      <c r="B1132" s="1">
        <v>36.96</v>
      </c>
      <c r="C1132" s="1">
        <v>51.26</v>
      </c>
      <c r="D1132">
        <f t="shared" si="10"/>
        <v>0.21</v>
      </c>
      <c r="E1132">
        <f t="shared" si="11"/>
        <v>0.232</v>
      </c>
    </row>
    <row r="1133" spans="1:5">
      <c r="A1133" s="2">
        <v>45827</v>
      </c>
      <c r="B1133" s="1">
        <v>34.13</v>
      </c>
      <c r="C1133" s="1">
        <v>48.22</v>
      </c>
      <c r="D1133">
        <f t="shared" si="10"/>
        <v>0.029</v>
      </c>
      <c r="E1133">
        <f t="shared" si="11"/>
        <v>0.036</v>
      </c>
    </row>
    <row r="1134" spans="1:5">
      <c r="A1134" s="2">
        <v>45828</v>
      </c>
      <c r="B1134" s="1">
        <v>34.89</v>
      </c>
      <c r="C1134" s="1">
        <v>49.37</v>
      </c>
      <c r="D1134">
        <f t="shared" si="10"/>
        <v>0.066</v>
      </c>
      <c r="E1134">
        <f t="shared" si="11"/>
        <v>0.096</v>
      </c>
    </row>
    <row r="1135" spans="1:5">
      <c r="A1135" s="2">
        <v>45831</v>
      </c>
      <c r="B1135" s="1">
        <v>35.77</v>
      </c>
      <c r="C1135" s="1">
        <v>50.19</v>
      </c>
      <c r="D1135">
        <f t="shared" ref="D1135:D1198" si="12">PERCENTRANK(B386:B1135,B1135)</f>
        <v>0.121</v>
      </c>
      <c r="E1135">
        <f t="shared" ref="E1135:E1198" si="13">PERCENTRANK(C386:C1135,C1135)</f>
        <v>0.144</v>
      </c>
    </row>
    <row r="1136" spans="1:5">
      <c r="A1136" s="2">
        <v>45832</v>
      </c>
      <c r="B1136" s="1">
        <v>34.93</v>
      </c>
      <c r="C1136" s="1">
        <v>49.38</v>
      </c>
      <c r="D1136">
        <f t="shared" si="12"/>
        <v>0.07</v>
      </c>
      <c r="E1136">
        <f t="shared" si="13"/>
        <v>0.098</v>
      </c>
    </row>
    <row r="1137" spans="1:5">
      <c r="A1137" s="2">
        <v>45833</v>
      </c>
      <c r="B1137" s="1">
        <v>37.33</v>
      </c>
      <c r="C1137" s="1">
        <v>51.78</v>
      </c>
      <c r="D1137">
        <f t="shared" si="12"/>
        <v>0.271</v>
      </c>
      <c r="E1137">
        <f t="shared" si="13"/>
        <v>0.297</v>
      </c>
    </row>
    <row r="1138" spans="1:5">
      <c r="A1138" s="2">
        <v>45834</v>
      </c>
      <c r="B1138" s="1">
        <v>37.75</v>
      </c>
      <c r="C1138" s="1">
        <v>52.1</v>
      </c>
      <c r="D1138">
        <f t="shared" si="12"/>
        <v>0.309</v>
      </c>
      <c r="E1138">
        <f t="shared" si="13"/>
        <v>0.333</v>
      </c>
    </row>
    <row r="1139" spans="1:5">
      <c r="A1139" s="2">
        <v>45835</v>
      </c>
      <c r="B1139" s="1">
        <v>38.77</v>
      </c>
      <c r="C1139" s="1">
        <v>53.16</v>
      </c>
      <c r="D1139">
        <f t="shared" si="12"/>
        <v>0.463</v>
      </c>
      <c r="E1139">
        <f t="shared" si="13"/>
        <v>0.485</v>
      </c>
    </row>
    <row r="1140" spans="1:5">
      <c r="A1140" s="2">
        <v>45838</v>
      </c>
      <c r="B1140" s="1">
        <v>35.67</v>
      </c>
      <c r="C1140" s="1">
        <v>50.01</v>
      </c>
      <c r="D1140">
        <f t="shared" si="12"/>
        <v>0.112</v>
      </c>
      <c r="E1140">
        <f t="shared" si="13"/>
        <v>0.136</v>
      </c>
    </row>
    <row r="1141" spans="1:5">
      <c r="A1141" s="2">
        <v>45839</v>
      </c>
      <c r="B1141" s="1">
        <v>34.85</v>
      </c>
      <c r="C1141" s="1">
        <v>49.15</v>
      </c>
      <c r="D1141">
        <f t="shared" si="12"/>
        <v>0.058</v>
      </c>
      <c r="E1141">
        <f t="shared" si="13"/>
        <v>0.082</v>
      </c>
    </row>
    <row r="1142" spans="1:5">
      <c r="A1142" s="2">
        <v>45840</v>
      </c>
      <c r="B1142" s="1">
        <v>33.39</v>
      </c>
      <c r="C1142" s="1">
        <v>47.87</v>
      </c>
      <c r="D1142">
        <f t="shared" si="12"/>
        <v>0.016</v>
      </c>
      <c r="E1142">
        <f t="shared" si="13"/>
        <v>0.025</v>
      </c>
    </row>
    <row r="1143" spans="1:5">
      <c r="A1143" s="2">
        <v>45841</v>
      </c>
      <c r="B1143" s="1">
        <v>35.05</v>
      </c>
      <c r="C1143" s="1">
        <v>49.17</v>
      </c>
      <c r="D1143">
        <f t="shared" si="12"/>
        <v>0.082</v>
      </c>
      <c r="E1143">
        <f t="shared" si="13"/>
        <v>0.088</v>
      </c>
    </row>
    <row r="1144" spans="1:5">
      <c r="A1144" s="2">
        <v>45842</v>
      </c>
      <c r="B1144" s="1">
        <v>36.09</v>
      </c>
      <c r="C1144" s="1">
        <v>50.07</v>
      </c>
      <c r="D1144">
        <f t="shared" si="12"/>
        <v>0.157</v>
      </c>
      <c r="E1144">
        <f t="shared" si="13"/>
        <v>0.144</v>
      </c>
    </row>
    <row r="1145" spans="1:5">
      <c r="A1145" s="2">
        <v>45845</v>
      </c>
      <c r="B1145" s="1">
        <v>35.91</v>
      </c>
      <c r="C1145" s="1">
        <v>50.18</v>
      </c>
      <c r="D1145">
        <f t="shared" si="12"/>
        <v>0.145</v>
      </c>
      <c r="E1145">
        <f t="shared" si="13"/>
        <v>0.152</v>
      </c>
    </row>
    <row r="1146" spans="1:5">
      <c r="A1146" s="2">
        <v>45846</v>
      </c>
      <c r="B1146" s="1">
        <v>35.18</v>
      </c>
      <c r="C1146" s="1">
        <v>49.44</v>
      </c>
      <c r="D1146">
        <f t="shared" si="12"/>
        <v>0.092</v>
      </c>
      <c r="E1146">
        <f t="shared" si="13"/>
        <v>0.109</v>
      </c>
    </row>
    <row r="1147" spans="1:5">
      <c r="A1147" s="2">
        <v>45847</v>
      </c>
      <c r="B1147" s="1">
        <v>34.85</v>
      </c>
      <c r="C1147" s="1">
        <v>48.84</v>
      </c>
      <c r="D1147">
        <f t="shared" si="12"/>
        <v>0.06</v>
      </c>
      <c r="E1147">
        <f t="shared" si="13"/>
        <v>0.06</v>
      </c>
    </row>
    <row r="1148" spans="1:5">
      <c r="A1148" s="2">
        <v>45848</v>
      </c>
      <c r="B1148" s="1">
        <v>37.63</v>
      </c>
      <c r="C1148" s="1">
        <v>51.73</v>
      </c>
      <c r="D1148">
        <f t="shared" si="12"/>
        <v>0.304</v>
      </c>
      <c r="E1148">
        <f t="shared" si="13"/>
        <v>0.296</v>
      </c>
    </row>
    <row r="1149" spans="1:5">
      <c r="A1149" s="2">
        <v>45849</v>
      </c>
      <c r="B1149" s="1">
        <v>38.86</v>
      </c>
      <c r="C1149" s="1">
        <v>53.08</v>
      </c>
      <c r="D1149">
        <f t="shared" si="12"/>
        <v>0.487</v>
      </c>
      <c r="E1149">
        <f t="shared" si="13"/>
        <v>0.488</v>
      </c>
    </row>
    <row r="1150" spans="1:5">
      <c r="A1150" s="2">
        <v>45852</v>
      </c>
      <c r="B1150" s="1">
        <v>35.37</v>
      </c>
      <c r="C1150" s="1">
        <v>49.57</v>
      </c>
      <c r="D1150">
        <f t="shared" si="12"/>
        <v>0.105</v>
      </c>
      <c r="E1150">
        <f t="shared" si="13"/>
        <v>0.118</v>
      </c>
    </row>
    <row r="1151" spans="1:5">
      <c r="A1151" s="2">
        <v>45853</v>
      </c>
      <c r="B1151" s="1">
        <v>35.62</v>
      </c>
      <c r="C1151" s="1">
        <v>49.29</v>
      </c>
      <c r="D1151">
        <f t="shared" si="12"/>
        <v>0.118</v>
      </c>
      <c r="E1151">
        <f t="shared" si="13"/>
        <v>0.098</v>
      </c>
    </row>
    <row r="1152" spans="1:5">
      <c r="A1152" s="2">
        <v>45854</v>
      </c>
      <c r="B1152" s="1">
        <v>36.67</v>
      </c>
      <c r="C1152" s="1">
        <v>50.92</v>
      </c>
      <c r="D1152">
        <f t="shared" si="12"/>
        <v>0.201</v>
      </c>
      <c r="E1152">
        <f t="shared" si="13"/>
        <v>0.214</v>
      </c>
    </row>
    <row r="1153" spans="1:5">
      <c r="A1153" s="2">
        <v>45855</v>
      </c>
      <c r="B1153" s="1">
        <v>36.76</v>
      </c>
      <c r="C1153" s="1">
        <v>50.86</v>
      </c>
      <c r="D1153">
        <f t="shared" si="12"/>
        <v>0.212</v>
      </c>
      <c r="E1153">
        <f t="shared" si="13"/>
        <v>0.212</v>
      </c>
    </row>
    <row r="1154" spans="1:5">
      <c r="A1154" s="2">
        <v>45856</v>
      </c>
      <c r="B1154" s="1">
        <v>37.25</v>
      </c>
      <c r="C1154" s="1">
        <v>51.27</v>
      </c>
      <c r="D1154">
        <f t="shared" si="12"/>
        <v>0.272</v>
      </c>
      <c r="E1154">
        <f t="shared" si="13"/>
        <v>0.255</v>
      </c>
    </row>
    <row r="1155" spans="1:5">
      <c r="A1155" s="2">
        <v>45859</v>
      </c>
      <c r="B1155" s="1">
        <v>34.21</v>
      </c>
      <c r="C1155" s="1">
        <v>48.05</v>
      </c>
      <c r="D1155">
        <f t="shared" si="12"/>
        <v>0.036</v>
      </c>
      <c r="E1155">
        <f t="shared" si="13"/>
        <v>0.028</v>
      </c>
    </row>
    <row r="1156" spans="1:5">
      <c r="A1156" s="2">
        <v>45860</v>
      </c>
      <c r="B1156" s="1">
        <v>34.42</v>
      </c>
      <c r="C1156" s="1">
        <v>48.57</v>
      </c>
      <c r="D1156">
        <f t="shared" si="12"/>
        <v>0.042</v>
      </c>
      <c r="E1156">
        <f t="shared" si="13"/>
        <v>0.05</v>
      </c>
    </row>
    <row r="1157" spans="1:5">
      <c r="A1157" s="2">
        <v>45861</v>
      </c>
      <c r="B1157" s="1">
        <v>35.91</v>
      </c>
      <c r="C1157" s="1">
        <v>49.92</v>
      </c>
      <c r="D1157">
        <f t="shared" si="12"/>
        <v>0.153</v>
      </c>
      <c r="E1157">
        <f t="shared" si="13"/>
        <v>0.138</v>
      </c>
    </row>
    <row r="1158" spans="1:5">
      <c r="A1158" s="2">
        <v>45862</v>
      </c>
      <c r="B1158" s="1">
        <v>36.8</v>
      </c>
      <c r="C1158" s="1">
        <v>50.81</v>
      </c>
      <c r="D1158">
        <f t="shared" si="12"/>
        <v>0.22</v>
      </c>
      <c r="E1158">
        <f t="shared" si="13"/>
        <v>0.212</v>
      </c>
    </row>
    <row r="1159" spans="1:5">
      <c r="A1159" s="2">
        <v>45863</v>
      </c>
      <c r="B1159" s="1">
        <v>36.51</v>
      </c>
      <c r="C1159" s="1">
        <v>50.14</v>
      </c>
      <c r="D1159">
        <f t="shared" si="12"/>
        <v>0.2</v>
      </c>
      <c r="E1159">
        <f t="shared" si="13"/>
        <v>0.158</v>
      </c>
    </row>
    <row r="1160" spans="1:5">
      <c r="A1160" s="2">
        <v>45866</v>
      </c>
      <c r="B1160" s="1">
        <v>36.52</v>
      </c>
      <c r="C1160" s="1">
        <v>50.39</v>
      </c>
      <c r="D1160">
        <f t="shared" si="12"/>
        <v>0.202</v>
      </c>
      <c r="E1160">
        <f t="shared" si="13"/>
        <v>0.185</v>
      </c>
    </row>
    <row r="1161" spans="1:5">
      <c r="A1161" s="2">
        <v>45867</v>
      </c>
      <c r="B1161" s="1">
        <v>36.9</v>
      </c>
      <c r="C1161" s="1">
        <v>50.7</v>
      </c>
      <c r="D1161">
        <f t="shared" si="12"/>
        <v>0.232</v>
      </c>
      <c r="E1161">
        <f t="shared" si="13"/>
        <v>0.205</v>
      </c>
    </row>
    <row r="1162" spans="1:5">
      <c r="A1162" s="2">
        <v>45868</v>
      </c>
      <c r="B1162" s="1">
        <v>36.05</v>
      </c>
      <c r="C1162" s="1">
        <v>49.77</v>
      </c>
      <c r="D1162">
        <f t="shared" si="12"/>
        <v>0.165</v>
      </c>
      <c r="E1162">
        <f t="shared" si="13"/>
        <v>0.133</v>
      </c>
    </row>
    <row r="1163" spans="1:5">
      <c r="A1163" s="2">
        <v>45869</v>
      </c>
      <c r="B1163" s="1">
        <v>37.5</v>
      </c>
      <c r="C1163" s="1">
        <v>51.28</v>
      </c>
      <c r="D1163">
        <f t="shared" si="12"/>
        <v>0.311</v>
      </c>
      <c r="E1163">
        <f t="shared" si="13"/>
        <v>0.267</v>
      </c>
    </row>
    <row r="1164" spans="1:5">
      <c r="A1164" s="2">
        <v>45870</v>
      </c>
      <c r="B1164" s="1">
        <v>37.13</v>
      </c>
      <c r="C1164" s="1">
        <v>51.24</v>
      </c>
      <c r="D1164">
        <f t="shared" si="12"/>
        <v>0.273</v>
      </c>
      <c r="E1164">
        <f t="shared" si="13"/>
        <v>0.261</v>
      </c>
    </row>
    <row r="1165" spans="1:5">
      <c r="A1165" s="2">
        <v>45873</v>
      </c>
      <c r="B1165" s="1">
        <v>34.81</v>
      </c>
      <c r="C1165" s="1">
        <v>49.11</v>
      </c>
      <c r="D1165">
        <f t="shared" si="12"/>
        <v>0.058</v>
      </c>
      <c r="E1165">
        <f t="shared" si="13"/>
        <v>0.085</v>
      </c>
    </row>
    <row r="1166" spans="1:5">
      <c r="A1166" s="2">
        <v>45874</v>
      </c>
      <c r="B1166" s="1">
        <v>34.36</v>
      </c>
      <c r="C1166" s="1">
        <v>48.87</v>
      </c>
      <c r="D1166">
        <f t="shared" si="12"/>
        <v>0.042</v>
      </c>
      <c r="E1166">
        <f t="shared" si="13"/>
        <v>0.065</v>
      </c>
    </row>
    <row r="1167" spans="1:5">
      <c r="A1167" s="2">
        <v>45875</v>
      </c>
      <c r="B1167" s="1">
        <v>33.22</v>
      </c>
      <c r="C1167" s="1">
        <v>48.05</v>
      </c>
      <c r="D1167">
        <f t="shared" si="12"/>
        <v>0.013</v>
      </c>
      <c r="E1167">
        <f t="shared" si="13"/>
        <v>0.028</v>
      </c>
    </row>
    <row r="1168" spans="1:5">
      <c r="A1168" s="2">
        <v>45876</v>
      </c>
      <c r="B1168" s="1">
        <v>35.03</v>
      </c>
      <c r="C1168" s="1">
        <v>49.42</v>
      </c>
      <c r="D1168">
        <f t="shared" si="12"/>
        <v>0.089</v>
      </c>
      <c r="E1168">
        <f t="shared" si="13"/>
        <v>0.117</v>
      </c>
    </row>
    <row r="1169" spans="1:5">
      <c r="A1169" s="2">
        <v>45877</v>
      </c>
      <c r="B1169" s="1">
        <v>34.44</v>
      </c>
      <c r="C1169" s="1">
        <v>49.17</v>
      </c>
      <c r="D1169">
        <f t="shared" si="12"/>
        <v>0.046</v>
      </c>
      <c r="E1169">
        <f t="shared" si="13"/>
        <v>0.096</v>
      </c>
    </row>
    <row r="1170" spans="1:5">
      <c r="A1170" s="2">
        <v>45880</v>
      </c>
      <c r="B1170" s="1">
        <v>34.24</v>
      </c>
      <c r="C1170" s="1">
        <v>48.1</v>
      </c>
      <c r="D1170">
        <f t="shared" si="12"/>
        <v>0.04</v>
      </c>
      <c r="E1170">
        <f t="shared" si="13"/>
        <v>0.032</v>
      </c>
    </row>
    <row r="1171" spans="1:5">
      <c r="A1171" s="2">
        <v>45881</v>
      </c>
      <c r="B1171" s="1">
        <v>36.57</v>
      </c>
      <c r="C1171" s="1">
        <v>50.79</v>
      </c>
      <c r="D1171">
        <f t="shared" si="12"/>
        <v>0.214</v>
      </c>
      <c r="E1171">
        <f t="shared" si="13"/>
        <v>0.225</v>
      </c>
    </row>
    <row r="1172" spans="1:5">
      <c r="A1172" s="2">
        <v>45882</v>
      </c>
      <c r="B1172" s="1">
        <v>37.24</v>
      </c>
      <c r="C1172" s="1">
        <v>51.54</v>
      </c>
      <c r="D1172">
        <f t="shared" si="12"/>
        <v>0.293</v>
      </c>
      <c r="E1172">
        <f t="shared" si="13"/>
        <v>0.305</v>
      </c>
    </row>
    <row r="1173" spans="1:5">
      <c r="A1173" s="2">
        <v>45883</v>
      </c>
      <c r="B1173" s="1">
        <v>37.77</v>
      </c>
      <c r="C1173" s="1">
        <v>51.71</v>
      </c>
      <c r="D1173">
        <f t="shared" si="12"/>
        <v>0.353</v>
      </c>
      <c r="E1173">
        <f t="shared" si="13"/>
        <v>0.325</v>
      </c>
    </row>
    <row r="1174" spans="1:5">
      <c r="A1174" s="2">
        <v>45884</v>
      </c>
      <c r="B1174" s="1">
        <v>39.06</v>
      </c>
      <c r="C1174" s="1">
        <v>53.22</v>
      </c>
      <c r="D1174">
        <f t="shared" si="12"/>
        <v>0.543</v>
      </c>
      <c r="E1174">
        <f t="shared" si="13"/>
        <v>0.536</v>
      </c>
    </row>
    <row r="1175" spans="1:5">
      <c r="A1175" s="2">
        <v>45887</v>
      </c>
      <c r="B1175" s="1">
        <v>37.56</v>
      </c>
      <c r="C1175" s="1">
        <v>51.52</v>
      </c>
      <c r="D1175">
        <f t="shared" si="12"/>
        <v>0.329</v>
      </c>
      <c r="E1175">
        <f t="shared" si="13"/>
        <v>0.303</v>
      </c>
    </row>
    <row r="1176" spans="1:5">
      <c r="A1176" s="2">
        <v>45888</v>
      </c>
      <c r="B1176" s="1">
        <v>38.18</v>
      </c>
      <c r="C1176" s="1">
        <v>52.26</v>
      </c>
      <c r="D1176">
        <f t="shared" si="12"/>
        <v>0.417</v>
      </c>
      <c r="E1176">
        <f t="shared" si="13"/>
        <v>0.404</v>
      </c>
    </row>
    <row r="1177" spans="1:5">
      <c r="A1177" s="2">
        <v>45889</v>
      </c>
      <c r="B1177" s="1">
        <v>37.76</v>
      </c>
      <c r="C1177" s="1">
        <v>51.42</v>
      </c>
      <c r="D1177">
        <f t="shared" si="12"/>
        <v>0.352</v>
      </c>
      <c r="E1177">
        <f t="shared" si="13"/>
        <v>0.299</v>
      </c>
    </row>
    <row r="1178" spans="1:5">
      <c r="A1178" s="2">
        <v>45890</v>
      </c>
      <c r="B1178" s="1">
        <v>37.71</v>
      </c>
      <c r="C1178" s="1">
        <v>51.11</v>
      </c>
      <c r="D1178">
        <f t="shared" si="12"/>
        <v>0.341</v>
      </c>
      <c r="E1178">
        <f t="shared" si="13"/>
        <v>0.252</v>
      </c>
    </row>
    <row r="1179" spans="1:5">
      <c r="A1179" s="2">
        <v>45891</v>
      </c>
      <c r="B1179" s="1">
        <v>40.37</v>
      </c>
      <c r="C1179" s="1">
        <v>54.03</v>
      </c>
      <c r="D1179">
        <f t="shared" si="12"/>
        <v>0.676</v>
      </c>
      <c r="E1179">
        <f t="shared" si="13"/>
        <v>0.634</v>
      </c>
    </row>
    <row r="1180" spans="1:5">
      <c r="A1180" s="2">
        <v>45894</v>
      </c>
      <c r="B1180" s="1">
        <v>39.23</v>
      </c>
      <c r="C1180" s="1">
        <v>53.3</v>
      </c>
      <c r="D1180">
        <f t="shared" si="12"/>
        <v>0.563</v>
      </c>
      <c r="E1180">
        <f t="shared" si="13"/>
        <v>0.546</v>
      </c>
    </row>
    <row r="1181" spans="1:5">
      <c r="A1181" s="2">
        <v>45895</v>
      </c>
      <c r="B1181" s="1">
        <v>38.92</v>
      </c>
      <c r="C1181" s="1">
        <v>52.49</v>
      </c>
      <c r="D1181">
        <f t="shared" si="12"/>
        <v>0.526</v>
      </c>
      <c r="E1181">
        <f t="shared" si="13"/>
        <v>0.436</v>
      </c>
    </row>
    <row r="1182" spans="1:5">
      <c r="A1182" s="2">
        <v>45896</v>
      </c>
      <c r="B1182" s="1">
        <v>39.57</v>
      </c>
      <c r="C1182" s="1">
        <v>53.27</v>
      </c>
      <c r="D1182">
        <f t="shared" si="12"/>
        <v>0.594</v>
      </c>
      <c r="E1182">
        <f t="shared" si="13"/>
        <v>0.539</v>
      </c>
    </row>
    <row r="1183" spans="1:5">
      <c r="A1183" s="2">
        <v>45897</v>
      </c>
      <c r="B1183" s="1">
        <v>40.28</v>
      </c>
      <c r="C1183" s="1">
        <v>53.85</v>
      </c>
      <c r="D1183">
        <f t="shared" si="12"/>
        <v>0.664</v>
      </c>
      <c r="E1183">
        <f t="shared" si="13"/>
        <v>0.611</v>
      </c>
    </row>
    <row r="1184" spans="1:5">
      <c r="A1184" s="2">
        <v>45898</v>
      </c>
      <c r="B1184" s="1">
        <v>42.91</v>
      </c>
      <c r="C1184" s="1">
        <v>56.97</v>
      </c>
      <c r="D1184">
        <f t="shared" si="12"/>
        <v>0.887</v>
      </c>
      <c r="E1184">
        <f t="shared" si="13"/>
        <v>0.881</v>
      </c>
    </row>
    <row r="1185" spans="1:5">
      <c r="A1185" s="2">
        <v>45901</v>
      </c>
      <c r="B1185" s="1">
        <v>42.07</v>
      </c>
      <c r="C1185" s="1">
        <v>56.05</v>
      </c>
      <c r="D1185">
        <f t="shared" si="12"/>
        <v>0.815</v>
      </c>
      <c r="E1185">
        <f t="shared" si="13"/>
        <v>0.818</v>
      </c>
    </row>
    <row r="1186" spans="1:5">
      <c r="A1186" s="2">
        <v>45902</v>
      </c>
      <c r="B1186" s="1">
        <v>42.11</v>
      </c>
      <c r="C1186" s="1">
        <v>56.02</v>
      </c>
      <c r="D1186">
        <f t="shared" si="12"/>
        <v>0.819</v>
      </c>
      <c r="E1186">
        <f t="shared" si="13"/>
        <v>0.813</v>
      </c>
    </row>
    <row r="1187" spans="1:5">
      <c r="A1187" s="2">
        <v>45903</v>
      </c>
      <c r="B1187" s="1">
        <v>43.57</v>
      </c>
      <c r="C1187" s="1">
        <v>57.07</v>
      </c>
      <c r="D1187">
        <f t="shared" si="12"/>
        <v>0.921</v>
      </c>
      <c r="E1187">
        <f t="shared" si="13"/>
        <v>0.889</v>
      </c>
    </row>
    <row r="1188" spans="1:5">
      <c r="A1188" s="2">
        <v>45904</v>
      </c>
      <c r="B1188" s="1">
        <v>44.24</v>
      </c>
      <c r="C1188" s="1">
        <v>57.5</v>
      </c>
      <c r="D1188">
        <f t="shared" si="12"/>
        <v>0.953</v>
      </c>
      <c r="E1188">
        <f t="shared" si="13"/>
        <v>0.909</v>
      </c>
    </row>
    <row r="1189" spans="1:5">
      <c r="A1189" s="2">
        <v>45905</v>
      </c>
      <c r="B1189" s="1">
        <v>43.97</v>
      </c>
      <c r="C1189" s="1">
        <v>57.23</v>
      </c>
      <c r="D1189">
        <f t="shared" si="12"/>
        <v>0.941</v>
      </c>
      <c r="E1189">
        <f t="shared" si="13"/>
        <v>0.895</v>
      </c>
    </row>
    <row r="1190" spans="1:5">
      <c r="A1190" s="2">
        <v>45908</v>
      </c>
      <c r="B1190" s="1">
        <v>42.19</v>
      </c>
      <c r="C1190" s="1">
        <v>55.81</v>
      </c>
      <c r="D1190">
        <f t="shared" si="12"/>
        <v>0.825</v>
      </c>
      <c r="E1190">
        <f t="shared" si="13"/>
        <v>0.786</v>
      </c>
    </row>
    <row r="1191" spans="1:5">
      <c r="A1191" s="2">
        <v>45909</v>
      </c>
      <c r="B1191" s="1">
        <v>41.75</v>
      </c>
      <c r="C1191" s="1">
        <v>55.47</v>
      </c>
      <c r="D1191">
        <f t="shared" si="12"/>
        <v>0.789</v>
      </c>
      <c r="E1191">
        <f t="shared" si="13"/>
        <v>0.757</v>
      </c>
    </row>
    <row r="1192" spans="1:5">
      <c r="A1192" s="2">
        <v>45910</v>
      </c>
      <c r="B1192" s="1">
        <v>44.02</v>
      </c>
      <c r="C1192" s="1">
        <v>57.46</v>
      </c>
      <c r="D1192">
        <f t="shared" si="12"/>
        <v>0.942</v>
      </c>
      <c r="E1192">
        <f t="shared" si="13"/>
        <v>0.906</v>
      </c>
    </row>
    <row r="1193" spans="1:5">
      <c r="A1193" s="2">
        <v>45911</v>
      </c>
      <c r="B1193" s="1">
        <v>44.4</v>
      </c>
      <c r="C1193" s="1">
        <v>57.81</v>
      </c>
      <c r="D1193">
        <f t="shared" si="12"/>
        <v>0.959</v>
      </c>
      <c r="E1193">
        <f t="shared" si="13"/>
        <v>0.931</v>
      </c>
    </row>
    <row r="1194" spans="1:5">
      <c r="A1194" s="2">
        <v>45912</v>
      </c>
      <c r="B1194" s="1">
        <v>43.73</v>
      </c>
      <c r="C1194" s="1">
        <v>57.68</v>
      </c>
      <c r="D1194">
        <f t="shared" si="12"/>
        <v>0.923</v>
      </c>
      <c r="E1194">
        <f t="shared" si="13"/>
        <v>0.921</v>
      </c>
    </row>
    <row r="1195" spans="1:5">
      <c r="A1195" s="2">
        <v>45915</v>
      </c>
      <c r="B1195" s="1">
        <v>43.51</v>
      </c>
      <c r="C1195" s="1">
        <v>57.68</v>
      </c>
      <c r="D1195">
        <f t="shared" si="12"/>
        <v>0.911</v>
      </c>
      <c r="E1195">
        <f t="shared" si="13"/>
        <v>0.919</v>
      </c>
    </row>
    <row r="1196" spans="1:5">
      <c r="A1196" s="2">
        <v>45916</v>
      </c>
      <c r="B1196" s="1">
        <v>42.59</v>
      </c>
      <c r="C1196" s="1">
        <v>56.92</v>
      </c>
      <c r="D1196">
        <f t="shared" si="12"/>
        <v>0.858</v>
      </c>
      <c r="E1196">
        <f t="shared" si="13"/>
        <v>0.87</v>
      </c>
    </row>
    <row r="1197" spans="1:5">
      <c r="A1197" s="2">
        <v>45917</v>
      </c>
      <c r="B1197" s="1">
        <v>42.76</v>
      </c>
      <c r="C1197" s="1">
        <v>56.83</v>
      </c>
      <c r="D1197">
        <f t="shared" si="12"/>
        <v>0.867</v>
      </c>
      <c r="E1197">
        <f t="shared" si="13"/>
        <v>0.862</v>
      </c>
    </row>
    <row r="1198" spans="1:5">
      <c r="A1198" s="2">
        <v>45918</v>
      </c>
      <c r="B1198" s="1">
        <v>43.11</v>
      </c>
      <c r="C1198" s="1">
        <v>56.89</v>
      </c>
      <c r="D1198">
        <f t="shared" si="12"/>
        <v>0.887</v>
      </c>
      <c r="E1198">
        <f t="shared" si="13"/>
        <v>0.866</v>
      </c>
    </row>
    <row r="1199" spans="1:5">
      <c r="A1199" s="2">
        <v>45919</v>
      </c>
      <c r="B1199" s="1">
        <v>43.73</v>
      </c>
      <c r="C1199" s="1">
        <v>57.39</v>
      </c>
      <c r="D1199">
        <f t="shared" ref="D1199:D1262" si="14">PERCENTRANK(B450:B1199,B1199)</f>
        <v>0.922</v>
      </c>
      <c r="E1199">
        <f t="shared" ref="E1199:E1262" si="15">PERCENTRANK(C450:C1199,C1199)</f>
        <v>0.897</v>
      </c>
    </row>
    <row r="1200" spans="1:5">
      <c r="A1200" s="2">
        <v>45922</v>
      </c>
      <c r="B1200" s="1">
        <v>44.88</v>
      </c>
      <c r="C1200" s="1">
        <v>58.65</v>
      </c>
      <c r="D1200">
        <f t="shared" si="14"/>
        <v>0.974</v>
      </c>
      <c r="E1200">
        <f t="shared" si="15"/>
        <v>0.967</v>
      </c>
    </row>
    <row r="1201" spans="1:5">
      <c r="A1201" s="2">
        <v>45923</v>
      </c>
      <c r="B1201" s="1">
        <v>44.71</v>
      </c>
      <c r="C1201" s="1">
        <v>58.12</v>
      </c>
      <c r="D1201">
        <f t="shared" si="14"/>
        <v>0.971</v>
      </c>
      <c r="E1201">
        <f t="shared" si="15"/>
        <v>0.943</v>
      </c>
    </row>
    <row r="1202" spans="1:5">
      <c r="A1202" s="2">
        <v>45924</v>
      </c>
      <c r="B1202" s="1">
        <v>46.16</v>
      </c>
      <c r="C1202" s="1">
        <v>60.31</v>
      </c>
      <c r="D1202">
        <f t="shared" si="14"/>
        <v>0.995</v>
      </c>
      <c r="E1202">
        <f t="shared" si="15"/>
        <v>0.994</v>
      </c>
    </row>
    <row r="1203" spans="1:5">
      <c r="A1203" s="2">
        <v>45925</v>
      </c>
      <c r="B1203" s="1">
        <v>46.83</v>
      </c>
      <c r="C1203" s="1">
        <v>60.76</v>
      </c>
      <c r="D1203">
        <f t="shared" si="14"/>
        <v>0.997</v>
      </c>
      <c r="E1203">
        <f t="shared" si="15"/>
        <v>0.997</v>
      </c>
    </row>
    <row r="1204" spans="1:5">
      <c r="A1204" s="2">
        <v>45926</v>
      </c>
      <c r="B1204" s="1">
        <v>45.23</v>
      </c>
      <c r="C1204" s="1">
        <v>59.46</v>
      </c>
      <c r="D1204">
        <f t="shared" si="14"/>
        <v>0.981</v>
      </c>
      <c r="E1204">
        <f t="shared" si="15"/>
        <v>0.979</v>
      </c>
    </row>
    <row r="1205" spans="1:5">
      <c r="A1205" s="2">
        <v>45929</v>
      </c>
      <c r="B1205" s="1">
        <v>46.65</v>
      </c>
      <c r="C1205" s="1">
        <v>60.47</v>
      </c>
      <c r="D1205">
        <f t="shared" si="14"/>
        <v>0.995</v>
      </c>
      <c r="E1205">
        <f t="shared" si="15"/>
        <v>0.994</v>
      </c>
    </row>
    <row r="1206" spans="1:5">
      <c r="A1206" s="2">
        <v>45930</v>
      </c>
      <c r="B1206" s="1">
        <v>46.74</v>
      </c>
      <c r="C1206" s="1">
        <v>61.14</v>
      </c>
      <c r="D1206">
        <f t="shared" si="14"/>
        <v>0.995</v>
      </c>
      <c r="E1206">
        <f t="shared" si="15"/>
        <v>1</v>
      </c>
    </row>
    <row r="1207" spans="1:5">
      <c r="A1207" s="2">
        <v>45939</v>
      </c>
      <c r="B1207" s="1">
        <v>46.3</v>
      </c>
      <c r="C1207" s="1">
        <v>60.39</v>
      </c>
      <c r="D1207">
        <f t="shared" si="14"/>
        <v>0.991</v>
      </c>
      <c r="E1207">
        <f t="shared" si="15"/>
        <v>0.99</v>
      </c>
    </row>
    <row r="1208" spans="1:5">
      <c r="A1208" s="2">
        <v>45940</v>
      </c>
      <c r="B1208" s="1">
        <v>46.02</v>
      </c>
      <c r="C1208" s="1">
        <v>59.75</v>
      </c>
      <c r="D1208">
        <f t="shared" si="14"/>
        <v>0.985</v>
      </c>
      <c r="E1208">
        <f t="shared" si="15"/>
        <v>0.982</v>
      </c>
    </row>
    <row r="1209" spans="1:5">
      <c r="A1209" s="2">
        <v>45943</v>
      </c>
      <c r="B1209" s="1">
        <v>44.6</v>
      </c>
      <c r="C1209" s="1">
        <v>58.45</v>
      </c>
      <c r="D1209">
        <f t="shared" si="14"/>
        <v>0.958</v>
      </c>
      <c r="E1209">
        <f t="shared" si="15"/>
        <v>0.953</v>
      </c>
    </row>
    <row r="1210" spans="1:5">
      <c r="A1210" s="2">
        <v>45944</v>
      </c>
      <c r="B1210" s="1">
        <v>45.48</v>
      </c>
      <c r="C1210" s="1">
        <v>59.68</v>
      </c>
      <c r="D1210">
        <f t="shared" si="14"/>
        <v>0.978</v>
      </c>
      <c r="E1210">
        <f t="shared" si="15"/>
        <v>0.978</v>
      </c>
    </row>
    <row r="1211" spans="1:5">
      <c r="A1211" s="2">
        <v>45945</v>
      </c>
      <c r="B1211" s="1">
        <v>44.36</v>
      </c>
      <c r="C1211" s="1">
        <v>58.5</v>
      </c>
      <c r="D1211">
        <f t="shared" si="14"/>
        <v>0.939</v>
      </c>
      <c r="E1211">
        <f t="shared" si="15"/>
        <v>0.951</v>
      </c>
    </row>
    <row r="1212" spans="1:5">
      <c r="A1212" s="2">
        <v>45946</v>
      </c>
      <c r="B1212" s="1">
        <v>43.58</v>
      </c>
      <c r="C1212" s="1">
        <v>57.62</v>
      </c>
      <c r="D1212">
        <f t="shared" si="14"/>
        <v>0.897</v>
      </c>
      <c r="E1212">
        <f t="shared" si="15"/>
        <v>0.897</v>
      </c>
    </row>
    <row r="1213" spans="1:5">
      <c r="A1213" s="2">
        <v>45947</v>
      </c>
      <c r="B1213" s="1">
        <v>42.29</v>
      </c>
      <c r="C1213" s="1">
        <v>56.29</v>
      </c>
      <c r="D1213">
        <f t="shared" si="14"/>
        <v>0.806</v>
      </c>
      <c r="E1213">
        <f t="shared" si="15"/>
        <v>0.799</v>
      </c>
    </row>
    <row r="1214" spans="1:5">
      <c r="A1214" s="2">
        <v>45950</v>
      </c>
      <c r="B1214" s="1">
        <v>43.76</v>
      </c>
      <c r="C1214" s="1">
        <v>57.8</v>
      </c>
      <c r="D1214">
        <f t="shared" si="14"/>
        <v>0.91</v>
      </c>
      <c r="E1214">
        <f t="shared" si="15"/>
        <v>0.911</v>
      </c>
    </row>
    <row r="1215" spans="1:5">
      <c r="A1215" s="2">
        <v>45951</v>
      </c>
      <c r="B1215" s="1">
        <v>44.65</v>
      </c>
      <c r="C1215" s="1">
        <v>58.11</v>
      </c>
      <c r="D1215">
        <f t="shared" si="14"/>
        <v>0.958</v>
      </c>
      <c r="E1215">
        <f t="shared" si="15"/>
        <v>0.929</v>
      </c>
    </row>
    <row r="1216" spans="1:5">
      <c r="A1216" s="2">
        <v>45952</v>
      </c>
      <c r="B1216" s="1">
        <v>42.49</v>
      </c>
      <c r="C1216" s="1">
        <v>56.04</v>
      </c>
      <c r="D1216">
        <f t="shared" si="14"/>
        <v>0.823</v>
      </c>
      <c r="E1216">
        <f t="shared" si="15"/>
        <v>0.777</v>
      </c>
    </row>
    <row r="1217" spans="1:5">
      <c r="A1217" s="2">
        <v>45953</v>
      </c>
      <c r="B1217" s="1">
        <v>40.1</v>
      </c>
      <c r="C1217" s="1">
        <v>54.12</v>
      </c>
      <c r="D1217">
        <f t="shared" si="14"/>
        <v>0.602</v>
      </c>
      <c r="E1217">
        <f t="shared" si="15"/>
        <v>0.594</v>
      </c>
    </row>
    <row r="1218" spans="1:5">
      <c r="A1218" s="2">
        <v>45954</v>
      </c>
      <c r="B1218" s="1">
        <v>44.04</v>
      </c>
      <c r="C1218" s="1">
        <v>57.32</v>
      </c>
      <c r="D1218">
        <f t="shared" si="14"/>
        <v>0.923</v>
      </c>
      <c r="E1218">
        <f t="shared" si="15"/>
        <v>0.875</v>
      </c>
    </row>
    <row r="1219" spans="1:5">
      <c r="A1219" s="2">
        <v>45957</v>
      </c>
      <c r="B1219" s="1">
        <v>45.39</v>
      </c>
      <c r="C1219" s="1">
        <v>58.91</v>
      </c>
      <c r="D1219">
        <f t="shared" si="14"/>
        <v>0.975</v>
      </c>
      <c r="E1219">
        <f t="shared" si="15"/>
        <v>0.962</v>
      </c>
    </row>
    <row r="1220" spans="1:5">
      <c r="A1220" s="2">
        <v>45958</v>
      </c>
      <c r="B1220" s="1">
        <v>44.76</v>
      </c>
      <c r="C1220" s="1">
        <v>57.99</v>
      </c>
      <c r="D1220">
        <f t="shared" si="14"/>
        <v>0.959</v>
      </c>
      <c r="E1220">
        <f t="shared" si="15"/>
        <v>0.923</v>
      </c>
    </row>
    <row r="1221" spans="1:5">
      <c r="A1221" s="2">
        <v>45959</v>
      </c>
      <c r="B1221" s="1">
        <v>45.1</v>
      </c>
      <c r="C1221" s="1">
        <v>58.94</v>
      </c>
      <c r="D1221">
        <f t="shared" si="14"/>
        <v>0.967</v>
      </c>
      <c r="E1221">
        <f t="shared" si="15"/>
        <v>0.962</v>
      </c>
    </row>
    <row r="1222" spans="1:5">
      <c r="A1222" s="2">
        <v>45960</v>
      </c>
      <c r="B1222" s="1">
        <v>45.09</v>
      </c>
      <c r="C1222" s="1">
        <v>58.77</v>
      </c>
      <c r="D1222">
        <f t="shared" si="14"/>
        <v>0.966</v>
      </c>
      <c r="E1222">
        <f t="shared" si="15"/>
        <v>0.957</v>
      </c>
    </row>
    <row r="1223" spans="1:5">
      <c r="A1223" s="2">
        <v>45961</v>
      </c>
      <c r="B1223" s="1">
        <v>43.46</v>
      </c>
      <c r="C1223" s="1">
        <v>57.46</v>
      </c>
      <c r="D1223">
        <f t="shared" si="14"/>
        <v>0.879</v>
      </c>
      <c r="E1223">
        <f t="shared" si="15"/>
        <v>0.875</v>
      </c>
    </row>
    <row r="1224" spans="1:5">
      <c r="A1224" s="2">
        <v>45964</v>
      </c>
      <c r="B1224" s="1">
        <v>41.08</v>
      </c>
      <c r="C1224" s="1">
        <v>55.1</v>
      </c>
      <c r="D1224">
        <f t="shared" si="14"/>
        <v>0.686</v>
      </c>
      <c r="E1224">
        <f t="shared" si="15"/>
        <v>0.684</v>
      </c>
    </row>
    <row r="1225" spans="1:5">
      <c r="A1225" s="2">
        <v>45965</v>
      </c>
      <c r="B1225" s="1">
        <v>41.02</v>
      </c>
      <c r="C1225" s="1">
        <v>54.87</v>
      </c>
      <c r="D1225">
        <f t="shared" si="14"/>
        <v>0.68</v>
      </c>
      <c r="E1225">
        <f t="shared" si="15"/>
        <v>0.663</v>
      </c>
    </row>
    <row r="1226" spans="1:5">
      <c r="A1226" s="2">
        <v>45966</v>
      </c>
      <c r="B1226" s="1">
        <v>41</v>
      </c>
      <c r="C1226" s="1">
        <v>55.14</v>
      </c>
      <c r="D1226">
        <f t="shared" si="14"/>
        <v>0.678</v>
      </c>
      <c r="E1226">
        <f t="shared" si="15"/>
        <v>0.686</v>
      </c>
    </row>
    <row r="1227" spans="1:5">
      <c r="A1227" s="2">
        <v>45967</v>
      </c>
      <c r="B1227" s="1">
        <v>42.97</v>
      </c>
      <c r="C1227" s="1">
        <v>57.26</v>
      </c>
      <c r="D1227">
        <f t="shared" si="14"/>
        <v>0.85</v>
      </c>
      <c r="E1227">
        <f t="shared" si="15"/>
        <v>0.861</v>
      </c>
    </row>
    <row r="1228" spans="1:5">
      <c r="A1228" s="2">
        <v>45968</v>
      </c>
      <c r="B1228" s="1">
        <v>41.78</v>
      </c>
      <c r="C1228" s="1">
        <v>56.01</v>
      </c>
      <c r="D1228">
        <f t="shared" si="14"/>
        <v>0.748</v>
      </c>
      <c r="E1228">
        <f t="shared" si="15"/>
        <v>0.763</v>
      </c>
    </row>
    <row r="1229" spans="1:5">
      <c r="A1229" s="2">
        <v>45971</v>
      </c>
      <c r="B1229" s="1">
        <v>42.53</v>
      </c>
      <c r="C1229" s="1">
        <v>56.79</v>
      </c>
      <c r="D1229">
        <f t="shared" si="14"/>
        <v>0.818</v>
      </c>
      <c r="E1229">
        <f t="shared" si="15"/>
        <v>0.826</v>
      </c>
    </row>
    <row r="1230" spans="1:5">
      <c r="A1230" s="2">
        <v>45972</v>
      </c>
      <c r="B1230" s="1">
        <v>40.7</v>
      </c>
      <c r="C1230" s="1">
        <v>55.44</v>
      </c>
      <c r="D1230">
        <f t="shared" si="14"/>
        <v>0.639</v>
      </c>
      <c r="E1230">
        <f t="shared" si="15"/>
        <v>0.706</v>
      </c>
    </row>
    <row r="1231" spans="1:5">
      <c r="A1231" s="2">
        <v>45973</v>
      </c>
      <c r="B1231" s="1">
        <v>40.85</v>
      </c>
      <c r="C1231" s="1">
        <v>55.15</v>
      </c>
      <c r="D1231">
        <f t="shared" si="14"/>
        <v>0.654</v>
      </c>
      <c r="E1231">
        <f t="shared" si="15"/>
        <v>0.682</v>
      </c>
    </row>
    <row r="1232" spans="1:5">
      <c r="A1232" s="2">
        <v>45974</v>
      </c>
      <c r="B1232" s="1">
        <v>41.55</v>
      </c>
      <c r="C1232" s="1">
        <v>55.86</v>
      </c>
      <c r="D1232">
        <f t="shared" si="14"/>
        <v>0.73</v>
      </c>
      <c r="E1232">
        <f t="shared" si="15"/>
        <v>0.744</v>
      </c>
    </row>
    <row r="1233" spans="1:5">
      <c r="A1233" s="2">
        <v>45975</v>
      </c>
      <c r="B1233" s="1">
        <v>39.41</v>
      </c>
      <c r="C1233" s="1">
        <v>53.61</v>
      </c>
      <c r="D1233">
        <f t="shared" si="14"/>
        <v>0.519</v>
      </c>
      <c r="E1233">
        <f t="shared" si="15"/>
        <v>0.526</v>
      </c>
    </row>
    <row r="1234" spans="1:5">
      <c r="A1234" s="2">
        <v>45978</v>
      </c>
      <c r="B1234" s="1">
        <v>39.66</v>
      </c>
      <c r="C1234" s="1">
        <v>53.66</v>
      </c>
      <c r="D1234">
        <f t="shared" si="14"/>
        <v>0.543</v>
      </c>
      <c r="E1234">
        <f t="shared" si="15"/>
        <v>0.531</v>
      </c>
    </row>
    <row r="1235" spans="1:5">
      <c r="A1235" s="2">
        <v>45979</v>
      </c>
      <c r="B1235" s="1">
        <v>41.55</v>
      </c>
      <c r="C1235" s="1">
        <v>55.49</v>
      </c>
      <c r="D1235">
        <f t="shared" si="14"/>
        <v>0.728</v>
      </c>
      <c r="E1235">
        <f t="shared" si="15"/>
        <v>0.716</v>
      </c>
    </row>
    <row r="1236" spans="1:5">
      <c r="A1236" s="2">
        <v>45980</v>
      </c>
      <c r="B1236" s="1">
        <v>40.76</v>
      </c>
      <c r="C1236" s="1">
        <v>54.65</v>
      </c>
      <c r="D1236">
        <f t="shared" si="14"/>
        <v>0.64</v>
      </c>
      <c r="E1236">
        <f t="shared" si="15"/>
        <v>0.638</v>
      </c>
    </row>
    <row r="1237" spans="1:5">
      <c r="A1237" s="2">
        <v>45981</v>
      </c>
      <c r="B1237" s="1">
        <v>42.41</v>
      </c>
      <c r="C1237" s="1">
        <v>56.46</v>
      </c>
      <c r="D1237">
        <f t="shared" si="14"/>
        <v>0.797</v>
      </c>
      <c r="E1237">
        <f t="shared" si="15"/>
        <v>0.802</v>
      </c>
    </row>
    <row r="1238" spans="1:5">
      <c r="A1238" s="2">
        <v>45982</v>
      </c>
      <c r="B1238" s="1">
        <v>39.47</v>
      </c>
      <c r="C1238" s="1">
        <v>52.95</v>
      </c>
      <c r="D1238">
        <f t="shared" si="14"/>
        <v>0.518</v>
      </c>
      <c r="E1238">
        <f t="shared" si="15"/>
        <v>0.452</v>
      </c>
    </row>
    <row r="1239" spans="1:5">
      <c r="A1239" s="2">
        <v>45985</v>
      </c>
      <c r="B1239" s="1">
        <v>42.09</v>
      </c>
      <c r="C1239" s="1">
        <v>55.96</v>
      </c>
      <c r="D1239">
        <f t="shared" si="14"/>
        <v>0.765</v>
      </c>
      <c r="E1239">
        <f t="shared" si="15"/>
        <v>0.755</v>
      </c>
    </row>
    <row r="1240" spans="1:5">
      <c r="A1240" s="2">
        <v>45986</v>
      </c>
      <c r="B1240" s="1">
        <v>42.58</v>
      </c>
      <c r="C1240" s="1">
        <v>56.92</v>
      </c>
      <c r="D1240">
        <f t="shared" si="14"/>
        <v>0.822</v>
      </c>
      <c r="E1240">
        <f t="shared" si="15"/>
        <v>0.838</v>
      </c>
    </row>
    <row r="1241" spans="1:5">
      <c r="A1241" s="2">
        <v>45987</v>
      </c>
      <c r="B1241" s="1">
        <v>44.5</v>
      </c>
      <c r="C1241" s="1">
        <v>58.2</v>
      </c>
      <c r="D1241">
        <f t="shared" si="14"/>
        <v>0.946</v>
      </c>
      <c r="E1241">
        <f t="shared" si="15"/>
        <v>0.93</v>
      </c>
    </row>
    <row r="1242" spans="1:5">
      <c r="A1242" s="2">
        <v>45988</v>
      </c>
      <c r="B1242" s="1">
        <v>44.67</v>
      </c>
      <c r="C1242" s="1">
        <v>58.41</v>
      </c>
      <c r="D1242">
        <f t="shared" si="14"/>
        <v>0.953</v>
      </c>
      <c r="E1242">
        <f t="shared" si="15"/>
        <v>0.943</v>
      </c>
    </row>
    <row r="1243" spans="1:5">
      <c r="A1243" s="2">
        <v>45989</v>
      </c>
      <c r="B1243" s="1">
        <v>42.11</v>
      </c>
      <c r="C1243" s="1">
        <v>56.47</v>
      </c>
      <c r="D1243">
        <f t="shared" si="14"/>
        <v>0.763</v>
      </c>
      <c r="E1243">
        <f t="shared" si="15"/>
        <v>0.798</v>
      </c>
    </row>
    <row r="1244" spans="1:5">
      <c r="A1244" s="2">
        <v>45992</v>
      </c>
      <c r="B1244" s="1">
        <v>41.94</v>
      </c>
      <c r="C1244" s="1">
        <v>56.37</v>
      </c>
      <c r="D1244">
        <f t="shared" si="14"/>
        <v>0.75</v>
      </c>
      <c r="E1244">
        <f t="shared" si="15"/>
        <v>0.787</v>
      </c>
    </row>
    <row r="1245" spans="1:5">
      <c r="A1245" s="2">
        <v>45993</v>
      </c>
      <c r="B1245" s="1">
        <v>42.15</v>
      </c>
      <c r="C1245" s="1">
        <v>56.48</v>
      </c>
      <c r="D1245">
        <f t="shared" si="14"/>
        <v>0.769</v>
      </c>
      <c r="E1245">
        <f t="shared" si="15"/>
        <v>0.799</v>
      </c>
    </row>
    <row r="1246" spans="1:5">
      <c r="A1246" s="2">
        <v>45994</v>
      </c>
      <c r="B1246" s="1">
        <v>42.4</v>
      </c>
      <c r="C1246" s="1">
        <v>56.44</v>
      </c>
      <c r="D1246">
        <f t="shared" si="14"/>
        <v>0.791</v>
      </c>
      <c r="E1246">
        <f t="shared" si="15"/>
        <v>0.793</v>
      </c>
    </row>
    <row r="1247" spans="1:5">
      <c r="A1247" s="2">
        <v>45995</v>
      </c>
      <c r="B1247" s="1">
        <v>42.39</v>
      </c>
      <c r="C1247" s="1">
        <v>56.47</v>
      </c>
      <c r="D1247">
        <f t="shared" si="14"/>
        <v>0.789</v>
      </c>
      <c r="E1247">
        <f t="shared" si="15"/>
        <v>0.795</v>
      </c>
    </row>
    <row r="1248" spans="1:5">
      <c r="A1248" s="2">
        <v>45996</v>
      </c>
      <c r="B1248" s="1">
        <v>43.46</v>
      </c>
      <c r="C1248" s="1">
        <v>57.57</v>
      </c>
      <c r="D1248">
        <f t="shared" si="14"/>
        <v>0.875</v>
      </c>
      <c r="E1248">
        <f t="shared" si="15"/>
        <v>0.881</v>
      </c>
    </row>
    <row r="1249" spans="1:5">
      <c r="A1249" s="2">
        <v>45999</v>
      </c>
      <c r="B1249" s="1">
        <v>44.85</v>
      </c>
      <c r="C1249" s="1">
        <v>58.93</v>
      </c>
      <c r="D1249">
        <f t="shared" si="14"/>
        <v>0.958</v>
      </c>
      <c r="E1249">
        <f t="shared" si="15"/>
        <v>0.961</v>
      </c>
    </row>
    <row r="1250" spans="1:5">
      <c r="A1250" s="2">
        <v>46000</v>
      </c>
      <c r="B1250" s="1">
        <v>45.66</v>
      </c>
      <c r="C1250" s="1">
        <v>59.48</v>
      </c>
      <c r="D1250">
        <f t="shared" si="14"/>
        <v>0.981</v>
      </c>
      <c r="E1250">
        <f t="shared" si="15"/>
        <v>0.974</v>
      </c>
    </row>
    <row r="1251" spans="1:5">
      <c r="A1251" s="2">
        <v>46001</v>
      </c>
      <c r="B1251" s="1">
        <v>44.03</v>
      </c>
      <c r="C1251" s="1">
        <v>58.54</v>
      </c>
      <c r="D1251">
        <f t="shared" si="14"/>
        <v>0.911</v>
      </c>
      <c r="E1251">
        <f t="shared" si="15"/>
        <v>0.946</v>
      </c>
    </row>
    <row r="1252" spans="1:5">
      <c r="A1252" s="2">
        <v>46002</v>
      </c>
      <c r="B1252" s="1">
        <v>44.51</v>
      </c>
      <c r="C1252" s="1">
        <v>58.2</v>
      </c>
      <c r="D1252">
        <f t="shared" si="14"/>
        <v>0.942</v>
      </c>
      <c r="E1252">
        <f t="shared" si="15"/>
        <v>0.923</v>
      </c>
    </row>
    <row r="1253" spans="1:5">
      <c r="A1253" s="2">
        <v>46003</v>
      </c>
      <c r="B1253" s="1">
        <v>44.86</v>
      </c>
      <c r="C1253" s="1">
        <v>59.09</v>
      </c>
      <c r="D1253">
        <f t="shared" si="14"/>
        <v>0.957</v>
      </c>
      <c r="E1253">
        <f t="shared" si="15"/>
        <v>0.967</v>
      </c>
    </row>
    <row r="1254" spans="1:5">
      <c r="A1254" s="2">
        <v>46006</v>
      </c>
      <c r="B1254" s="1">
        <v>43.58</v>
      </c>
      <c r="C1254" s="1">
        <v>58.04</v>
      </c>
      <c r="D1254">
        <f t="shared" si="14"/>
        <v>0.877</v>
      </c>
      <c r="E1254">
        <f t="shared" si="15"/>
        <v>0.913</v>
      </c>
    </row>
    <row r="1255" spans="1:5">
      <c r="A1255" s="2">
        <v>46007</v>
      </c>
      <c r="B1255" s="1">
        <v>42.12</v>
      </c>
      <c r="C1255" s="1">
        <v>56.5</v>
      </c>
      <c r="D1255">
        <f t="shared" si="14"/>
        <v>0.751</v>
      </c>
      <c r="E1255">
        <f t="shared" si="15"/>
        <v>0.791</v>
      </c>
    </row>
    <row r="1256" spans="1:5">
      <c r="A1256" s="2">
        <v>46008</v>
      </c>
      <c r="B1256" s="1">
        <v>44.22</v>
      </c>
      <c r="C1256" s="1">
        <v>58.22</v>
      </c>
      <c r="D1256">
        <f t="shared" si="14"/>
        <v>0.919</v>
      </c>
      <c r="E1256">
        <f t="shared" si="15"/>
        <v>0.926</v>
      </c>
    </row>
    <row r="1257" spans="1:5">
      <c r="A1257" s="2">
        <v>46009</v>
      </c>
      <c r="B1257" s="1">
        <v>43.92</v>
      </c>
      <c r="C1257" s="1">
        <v>58.37</v>
      </c>
      <c r="D1257">
        <f t="shared" si="14"/>
        <v>0.901</v>
      </c>
      <c r="E1257">
        <f t="shared" si="15"/>
        <v>0.937</v>
      </c>
    </row>
    <row r="1258" spans="1:5">
      <c r="A1258" s="2">
        <v>46010</v>
      </c>
      <c r="B1258" s="1">
        <v>41.54</v>
      </c>
      <c r="C1258" s="1">
        <v>56.21</v>
      </c>
      <c r="D1258">
        <f t="shared" si="14"/>
        <v>0.696</v>
      </c>
      <c r="E1258">
        <f t="shared" si="15"/>
        <v>0.759</v>
      </c>
    </row>
    <row r="1259" spans="1:5">
      <c r="A1259" s="2">
        <v>46013</v>
      </c>
      <c r="B1259" s="1">
        <v>43.48</v>
      </c>
      <c r="C1259" s="1">
        <v>58.37</v>
      </c>
      <c r="D1259">
        <f t="shared" si="14"/>
        <v>0.866</v>
      </c>
      <c r="E1259">
        <f t="shared" si="15"/>
        <v>0.935</v>
      </c>
    </row>
    <row r="1260" spans="1:5">
      <c r="A1260" s="2">
        <v>46014</v>
      </c>
      <c r="B1260" s="1">
        <v>44.83</v>
      </c>
      <c r="C1260" s="1">
        <v>59.64</v>
      </c>
      <c r="D1260">
        <f t="shared" si="14"/>
        <v>0.954</v>
      </c>
      <c r="E1260">
        <f t="shared" si="15"/>
        <v>0.977</v>
      </c>
    </row>
    <row r="1261" spans="1:5">
      <c r="A1261" s="2">
        <v>46015</v>
      </c>
      <c r="B1261" s="1">
        <v>43.95</v>
      </c>
      <c r="C1261" s="1">
        <v>59.15</v>
      </c>
      <c r="D1261">
        <f t="shared" si="14"/>
        <v>0.901</v>
      </c>
      <c r="E1261">
        <f t="shared" si="15"/>
        <v>0.966</v>
      </c>
    </row>
    <row r="1262" spans="1:5">
      <c r="A1262" s="2">
        <v>46016</v>
      </c>
      <c r="B1262" s="1">
        <v>43.02</v>
      </c>
      <c r="C1262" s="1">
        <v>57.98</v>
      </c>
      <c r="D1262">
        <f t="shared" si="14"/>
        <v>0.835</v>
      </c>
      <c r="E1262">
        <f t="shared" si="15"/>
        <v>0.902</v>
      </c>
    </row>
    <row r="1263" spans="1:5">
      <c r="A1263" s="2">
        <v>46017</v>
      </c>
      <c r="B1263" s="1">
        <v>43.88</v>
      </c>
      <c r="C1263" s="1">
        <v>58.94</v>
      </c>
      <c r="D1263">
        <f t="shared" ref="D1263:D1326" si="16">PERCENTRANK(B514:B1263,B1263)</f>
        <v>0.897</v>
      </c>
      <c r="E1263">
        <f t="shared" ref="E1263:E1326" si="17">PERCENTRANK(C514:C1263,C1263)</f>
        <v>0.955</v>
      </c>
    </row>
    <row r="1264" spans="1:5">
      <c r="A1264" s="2">
        <v>46020</v>
      </c>
      <c r="B1264" s="1">
        <v>43.87</v>
      </c>
      <c r="C1264" s="1">
        <v>58.89</v>
      </c>
      <c r="D1264">
        <f t="shared" si="16"/>
        <v>0.895</v>
      </c>
      <c r="E1264">
        <f t="shared" si="17"/>
        <v>0.951</v>
      </c>
    </row>
    <row r="1265" spans="1:5">
      <c r="A1265" s="2">
        <v>46021</v>
      </c>
      <c r="B1265" s="1">
        <v>45.01</v>
      </c>
      <c r="C1265" s="1">
        <v>60.05</v>
      </c>
      <c r="D1265">
        <f t="shared" si="16"/>
        <v>0.962</v>
      </c>
      <c r="E1265">
        <f t="shared" si="17"/>
        <v>0.986</v>
      </c>
    </row>
    <row r="1266" spans="1:5">
      <c r="A1266" s="2">
        <v>46022</v>
      </c>
      <c r="B1266" s="1">
        <v>45.57</v>
      </c>
      <c r="C1266" s="1">
        <v>60.1</v>
      </c>
      <c r="D1266">
        <f t="shared" si="16"/>
        <v>0.978</v>
      </c>
      <c r="E1266">
        <f t="shared" si="17"/>
        <v>0.986</v>
      </c>
    </row>
    <row r="1267" spans="1:5">
      <c r="A1267" s="2">
        <v>46027</v>
      </c>
      <c r="B1267" s="1">
        <v>44.64</v>
      </c>
      <c r="C1267" s="1">
        <v>58.61</v>
      </c>
      <c r="D1267">
        <f t="shared" si="16"/>
        <v>0.942</v>
      </c>
      <c r="E1267">
        <f t="shared" si="17"/>
        <v>0.938</v>
      </c>
    </row>
    <row r="1268" spans="1:5">
      <c r="A1268" s="2">
        <v>46028</v>
      </c>
      <c r="B1268" s="1">
        <v>43.92</v>
      </c>
      <c r="C1268" s="1">
        <v>58.4</v>
      </c>
      <c r="D1268">
        <f t="shared" si="16"/>
        <v>0.893</v>
      </c>
      <c r="E1268">
        <f t="shared" si="17"/>
        <v>0.927</v>
      </c>
    </row>
    <row r="1269" spans="1:5">
      <c r="A1269" s="2">
        <v>46029</v>
      </c>
      <c r="B1269" s="1">
        <v>44.23</v>
      </c>
      <c r="C1269" s="1">
        <v>58.76</v>
      </c>
      <c r="D1269">
        <f t="shared" si="16"/>
        <v>0.914</v>
      </c>
      <c r="E1269">
        <f t="shared" si="17"/>
        <v>0.943</v>
      </c>
    </row>
    <row r="1270" spans="1:5">
      <c r="A1270" s="2">
        <v>46030</v>
      </c>
      <c r="B1270" s="1">
        <v>43.28</v>
      </c>
      <c r="C1270" s="1">
        <v>58.18</v>
      </c>
      <c r="D1270">
        <f t="shared" si="16"/>
        <v>0.843</v>
      </c>
      <c r="E1270">
        <f t="shared" si="17"/>
        <v>0.902</v>
      </c>
    </row>
    <row r="1271" spans="1:5">
      <c r="A1271" s="2">
        <v>46031</v>
      </c>
      <c r="B1271" s="1">
        <v>42.66</v>
      </c>
      <c r="C1271" s="1">
        <v>57.54</v>
      </c>
      <c r="D1271">
        <f t="shared" si="16"/>
        <v>0.797</v>
      </c>
      <c r="E1271">
        <f t="shared" si="17"/>
        <v>0.85</v>
      </c>
    </row>
    <row r="1272" spans="1:5">
      <c r="A1272" s="2">
        <v>46034</v>
      </c>
      <c r="B1272" s="1">
        <v>40.36</v>
      </c>
      <c r="C1272" s="1">
        <v>55.22</v>
      </c>
      <c r="D1272">
        <f t="shared" si="16"/>
        <v>0.562</v>
      </c>
      <c r="E1272">
        <f t="shared" si="17"/>
        <v>0.642</v>
      </c>
    </row>
    <row r="1273" spans="1:5">
      <c r="A1273" s="2">
        <v>46035</v>
      </c>
      <c r="B1273" s="1">
        <v>41.43</v>
      </c>
      <c r="C1273" s="1">
        <v>56.14</v>
      </c>
      <c r="D1273">
        <f t="shared" si="16"/>
        <v>0.664</v>
      </c>
      <c r="E1273">
        <f t="shared" si="17"/>
        <v>0.738</v>
      </c>
    </row>
    <row r="1274" spans="1:5">
      <c r="A1274" s="2">
        <v>46036</v>
      </c>
      <c r="B1274" s="1">
        <v>41.25</v>
      </c>
      <c r="C1274" s="1">
        <v>55.92</v>
      </c>
      <c r="D1274">
        <f t="shared" si="16"/>
        <v>0.648</v>
      </c>
      <c r="E1274">
        <f t="shared" si="17"/>
        <v>0.703</v>
      </c>
    </row>
    <row r="1275" spans="1:5">
      <c r="A1275" s="2">
        <v>46037</v>
      </c>
      <c r="B1275" s="1">
        <v>42.15</v>
      </c>
      <c r="C1275" s="1">
        <v>56.92</v>
      </c>
      <c r="D1275">
        <f t="shared" si="16"/>
        <v>0.735</v>
      </c>
      <c r="E1275">
        <f t="shared" si="17"/>
        <v>0.805</v>
      </c>
    </row>
    <row r="1276" spans="1:5">
      <c r="A1276" s="2">
        <v>46038</v>
      </c>
      <c r="B1276" s="1">
        <v>42.37</v>
      </c>
      <c r="C1276" s="1">
        <v>57.02</v>
      </c>
      <c r="D1276">
        <f t="shared" si="16"/>
        <v>0.758</v>
      </c>
      <c r="E1276">
        <f t="shared" si="17"/>
        <v>0.811</v>
      </c>
    </row>
    <row r="1277" spans="1:5">
      <c r="A1277" s="2">
        <v>46041</v>
      </c>
      <c r="B1277" s="1">
        <v>41.03</v>
      </c>
      <c r="C1277" s="1">
        <v>55.43</v>
      </c>
      <c r="D1277">
        <f t="shared" si="16"/>
        <v>0.624</v>
      </c>
      <c r="E1277">
        <f t="shared" si="17"/>
        <v>0.651</v>
      </c>
    </row>
    <row r="1278" spans="1:5">
      <c r="A1278" s="2">
        <v>46042</v>
      </c>
      <c r="B1278" s="1">
        <v>41.04</v>
      </c>
      <c r="C1278" s="1">
        <v>55.48</v>
      </c>
      <c r="D1278">
        <f t="shared" si="16"/>
        <v>0.626</v>
      </c>
      <c r="E1278">
        <f t="shared" si="17"/>
        <v>0.662</v>
      </c>
    </row>
    <row r="1279" spans="1:5">
      <c r="A1279" s="2">
        <v>46043</v>
      </c>
      <c r="B1279" s="1">
        <v>41.83</v>
      </c>
      <c r="C1279" s="1">
        <v>56.6</v>
      </c>
      <c r="D1279">
        <f t="shared" si="16"/>
        <v>0.702</v>
      </c>
      <c r="E1279">
        <f t="shared" si="17"/>
        <v>0.773</v>
      </c>
    </row>
    <row r="1280" spans="1:5">
      <c r="A1280" s="2">
        <v>46044</v>
      </c>
      <c r="B1280" s="1">
        <v>42.82</v>
      </c>
      <c r="C1280" s="1">
        <v>57.38</v>
      </c>
      <c r="D1280">
        <f t="shared" si="16"/>
        <v>0.807</v>
      </c>
      <c r="E1280">
        <f t="shared" si="17"/>
        <v>0.837</v>
      </c>
    </row>
    <row r="1281" spans="1:5">
      <c r="A1281" s="2">
        <v>46045</v>
      </c>
      <c r="B1281" s="1">
        <v>41.16</v>
      </c>
      <c r="C1281" s="1">
        <v>56.12</v>
      </c>
      <c r="D1281">
        <f t="shared" si="16"/>
        <v>0.635</v>
      </c>
      <c r="E1281">
        <f t="shared" si="17"/>
        <v>0.73</v>
      </c>
    </row>
    <row r="1282" spans="1:5">
      <c r="A1282" s="2">
        <v>46048</v>
      </c>
      <c r="B1282" s="1">
        <v>40.11</v>
      </c>
      <c r="C1282" s="1">
        <v>54.57</v>
      </c>
      <c r="D1282">
        <f t="shared" si="16"/>
        <v>0.524</v>
      </c>
      <c r="E1282">
        <f t="shared" si="17"/>
        <v>0.566</v>
      </c>
    </row>
    <row r="1283" spans="1:5">
      <c r="A1283" s="2">
        <v>46049</v>
      </c>
      <c r="B1283" s="1">
        <v>41.8</v>
      </c>
      <c r="C1283" s="1">
        <v>56.29</v>
      </c>
      <c r="D1283">
        <f t="shared" si="16"/>
        <v>0.698</v>
      </c>
      <c r="E1283">
        <f t="shared" si="17"/>
        <v>0.736</v>
      </c>
    </row>
    <row r="1284" spans="1:5">
      <c r="A1284" s="2">
        <v>46050</v>
      </c>
      <c r="B1284" s="1">
        <v>44.04</v>
      </c>
      <c r="C1284" s="1">
        <v>58.82</v>
      </c>
      <c r="D1284">
        <f t="shared" si="16"/>
        <v>0.901</v>
      </c>
      <c r="E1284">
        <f t="shared" si="17"/>
        <v>0.946</v>
      </c>
    </row>
    <row r="1285" spans="1:5">
      <c r="A1285" s="2">
        <v>46051</v>
      </c>
      <c r="B1285" s="1">
        <v>44.18</v>
      </c>
      <c r="C1285" s="1">
        <v>58.84</v>
      </c>
      <c r="D1285">
        <f t="shared" si="16"/>
        <v>0.911</v>
      </c>
      <c r="E1285">
        <f t="shared" si="17"/>
        <v>0.947</v>
      </c>
    </row>
    <row r="1286" spans="1:5">
      <c r="A1286" s="2">
        <v>46052</v>
      </c>
      <c r="B1286" s="1">
        <v>42.73</v>
      </c>
      <c r="C1286" s="1">
        <v>56.92</v>
      </c>
      <c r="D1286">
        <f t="shared" si="16"/>
        <v>0.797</v>
      </c>
      <c r="E1286">
        <f t="shared" si="17"/>
        <v>0.798</v>
      </c>
    </row>
    <row r="1287" spans="1:5">
      <c r="A1287" s="2">
        <v>46055</v>
      </c>
      <c r="B1287" s="1">
        <v>43.47</v>
      </c>
      <c r="C1287" s="1">
        <v>57.24</v>
      </c>
      <c r="D1287">
        <f t="shared" si="16"/>
        <v>0.85</v>
      </c>
      <c r="E1287">
        <f t="shared" si="17"/>
        <v>0.823</v>
      </c>
    </row>
    <row r="1288" spans="1:5">
      <c r="A1288" s="2">
        <v>46056</v>
      </c>
      <c r="B1288" s="1">
        <v>46.33</v>
      </c>
      <c r="C1288" s="1">
        <v>60.75</v>
      </c>
      <c r="D1288">
        <f t="shared" si="16"/>
        <v>0.991</v>
      </c>
      <c r="E1288">
        <f t="shared" si="17"/>
        <v>0.994</v>
      </c>
    </row>
    <row r="1289" spans="1:5">
      <c r="A1289" s="2">
        <v>46057</v>
      </c>
      <c r="B1289" s="1">
        <v>44.86</v>
      </c>
      <c r="C1289" s="1">
        <v>59.26</v>
      </c>
      <c r="D1289">
        <f t="shared" si="16"/>
        <v>0.951</v>
      </c>
      <c r="E1289">
        <f t="shared" si="17"/>
        <v>0.962</v>
      </c>
    </row>
    <row r="1290" spans="1:5">
      <c r="A1290" s="2">
        <v>46058</v>
      </c>
      <c r="B1290" s="1">
        <v>42.83</v>
      </c>
      <c r="C1290" s="1">
        <v>57.75</v>
      </c>
      <c r="D1290">
        <f t="shared" si="16"/>
        <v>0.801</v>
      </c>
      <c r="E1290">
        <f t="shared" si="17"/>
        <v>0.867</v>
      </c>
    </row>
    <row r="1291" spans="1:5">
      <c r="A1291" s="2">
        <v>46059</v>
      </c>
      <c r="B1291" s="1">
        <v>42.45</v>
      </c>
      <c r="C1291" s="1">
        <v>57.21</v>
      </c>
      <c r="D1291">
        <f t="shared" si="16"/>
        <v>0.759</v>
      </c>
      <c r="E1291">
        <f t="shared" si="17"/>
        <v>0.817</v>
      </c>
    </row>
    <row r="1292" spans="1:5">
      <c r="A1292" s="2">
        <v>46062</v>
      </c>
      <c r="B1292" s="1">
        <v>43.16</v>
      </c>
      <c r="C1292" s="1">
        <v>57.71</v>
      </c>
      <c r="D1292">
        <f t="shared" si="16"/>
        <v>0.827</v>
      </c>
      <c r="E1292">
        <f t="shared" si="17"/>
        <v>0.863</v>
      </c>
    </row>
    <row r="1293" spans="1:5">
      <c r="A1293" s="2">
        <v>46063</v>
      </c>
      <c r="B1293" s="1">
        <v>43.06</v>
      </c>
      <c r="C1293" s="1">
        <v>57.85</v>
      </c>
      <c r="D1293">
        <f t="shared" si="16"/>
        <v>0.818</v>
      </c>
      <c r="E1293">
        <f t="shared" si="17"/>
        <v>0.878</v>
      </c>
    </row>
    <row r="1294" spans="1:5">
      <c r="A1294" s="2">
        <v>46064</v>
      </c>
      <c r="B1294" s="1">
        <v>43.74</v>
      </c>
      <c r="C1294" s="1">
        <v>58.5</v>
      </c>
      <c r="D1294">
        <f t="shared" si="16"/>
        <v>0.87</v>
      </c>
      <c r="E1294">
        <f t="shared" si="17"/>
        <v>0.925</v>
      </c>
    </row>
    <row r="1295" spans="1:5">
      <c r="A1295" s="2">
        <v>46065</v>
      </c>
      <c r="B1295" s="1">
        <v>43.77</v>
      </c>
      <c r="C1295" s="1">
        <v>58.7</v>
      </c>
      <c r="D1295">
        <f t="shared" si="16"/>
        <v>0.873</v>
      </c>
      <c r="E1295">
        <f t="shared" si="17"/>
        <v>0.935</v>
      </c>
    </row>
    <row r="1296" spans="1:5">
      <c r="A1296" s="2">
        <v>46066</v>
      </c>
      <c r="B1296" s="1">
        <v>43.35</v>
      </c>
      <c r="C1296" s="1">
        <v>58.37</v>
      </c>
      <c r="D1296">
        <f t="shared" si="16"/>
        <v>0.835</v>
      </c>
      <c r="E1296">
        <f t="shared" si="17"/>
        <v>0.914</v>
      </c>
    </row>
    <row r="1297" spans="1:5">
      <c r="A1297" s="2">
        <v>46077</v>
      </c>
      <c r="B1297" s="1">
        <v>42.24</v>
      </c>
      <c r="C1297" s="1">
        <v>57.33</v>
      </c>
      <c r="D1297">
        <f t="shared" si="16"/>
        <v>0.728</v>
      </c>
      <c r="E1297">
        <f t="shared" si="17"/>
        <v>0.822</v>
      </c>
    </row>
    <row r="1298" spans="1:5">
      <c r="A1298" s="2">
        <v>46078</v>
      </c>
      <c r="B1298" s="1">
        <v>42.63</v>
      </c>
      <c r="C1298" s="1">
        <v>57.73</v>
      </c>
      <c r="D1298">
        <f t="shared" si="16"/>
        <v>0.778</v>
      </c>
      <c r="E1298">
        <f t="shared" si="17"/>
        <v>0.859</v>
      </c>
    </row>
    <row r="1299" spans="1:5">
      <c r="A1299" s="2">
        <v>46079</v>
      </c>
      <c r="B1299" s="1">
        <v>43.28</v>
      </c>
      <c r="C1299" s="1">
        <v>58.21</v>
      </c>
      <c r="D1299">
        <f t="shared" si="16"/>
        <v>0.831</v>
      </c>
      <c r="E1299">
        <f t="shared" si="17"/>
        <v>0.901</v>
      </c>
    </row>
    <row r="1300" spans="1:5">
      <c r="A1300" s="2">
        <v>46080</v>
      </c>
      <c r="B1300" s="1">
        <v>43.39</v>
      </c>
      <c r="C1300" s="1">
        <v>58.77</v>
      </c>
      <c r="D1300">
        <f t="shared" si="16"/>
        <v>0.835</v>
      </c>
      <c r="E1300">
        <f t="shared" si="17"/>
        <v>0.938</v>
      </c>
    </row>
    <row r="1301" spans="1:5">
      <c r="A1301" s="2">
        <v>46083</v>
      </c>
      <c r="B1301" s="1">
        <v>41.47</v>
      </c>
      <c r="C1301" s="1">
        <v>56.4</v>
      </c>
      <c r="D1301">
        <f t="shared" si="16"/>
        <v>0.643</v>
      </c>
      <c r="E1301">
        <f t="shared" si="17"/>
        <v>0.732</v>
      </c>
    </row>
    <row r="1302" spans="1:5">
      <c r="A1302" s="2">
        <v>46084</v>
      </c>
      <c r="B1302" s="1">
        <v>40.85</v>
      </c>
      <c r="C1302" s="1">
        <v>56.08</v>
      </c>
      <c r="D1302">
        <f t="shared" si="16"/>
        <v>0.572</v>
      </c>
      <c r="E1302">
        <f t="shared" si="17"/>
        <v>0.698</v>
      </c>
    </row>
    <row r="1303" spans="1:5">
      <c r="A1303" s="2">
        <v>46085</v>
      </c>
      <c r="B1303" s="1">
        <v>42.14</v>
      </c>
      <c r="C1303" s="1">
        <v>57.2</v>
      </c>
      <c r="D1303">
        <f t="shared" si="16"/>
        <v>0.708</v>
      </c>
      <c r="E1303">
        <f t="shared" si="17"/>
        <v>0.803</v>
      </c>
    </row>
    <row r="1304" spans="1:5">
      <c r="A1304" s="2">
        <v>46086</v>
      </c>
      <c r="B1304" s="1">
        <v>43.52</v>
      </c>
      <c r="C1304" s="1">
        <v>58.4</v>
      </c>
      <c r="D1304">
        <f t="shared" si="16"/>
        <v>0.85</v>
      </c>
      <c r="E1304">
        <f t="shared" si="17"/>
        <v>0.915</v>
      </c>
    </row>
    <row r="1305" spans="1:5">
      <c r="A1305" s="2">
        <v>46087</v>
      </c>
      <c r="B1305" s="1">
        <v>41.49</v>
      </c>
      <c r="C1305" s="1">
        <v>56.47</v>
      </c>
      <c r="D1305">
        <f t="shared" si="16"/>
        <v>0.643</v>
      </c>
      <c r="E1305">
        <f t="shared" si="17"/>
        <v>0.734</v>
      </c>
    </row>
    <row r="1306" spans="1:5">
      <c r="A1306" s="2">
        <v>46090</v>
      </c>
      <c r="B1306" s="1">
        <v>41.97</v>
      </c>
      <c r="C1306" s="1">
        <v>56.98</v>
      </c>
      <c r="D1306">
        <f t="shared" si="16"/>
        <v>0.687</v>
      </c>
      <c r="E1306">
        <f t="shared" si="17"/>
        <v>0.782</v>
      </c>
    </row>
    <row r="1307" spans="1:5">
      <c r="A1307" s="2">
        <v>46091</v>
      </c>
      <c r="B1307" s="1">
        <v>42.94</v>
      </c>
      <c r="C1307" s="1">
        <v>58.12</v>
      </c>
      <c r="D1307">
        <f t="shared" si="16"/>
        <v>0.799</v>
      </c>
      <c r="E1307">
        <f t="shared" si="17"/>
        <v>0.885</v>
      </c>
    </row>
    <row r="1308" spans="1:5">
      <c r="A1308" s="2">
        <v>46092</v>
      </c>
      <c r="B1308" s="1">
        <v>43.21</v>
      </c>
      <c r="C1308" s="1">
        <v>58.54</v>
      </c>
      <c r="D1308">
        <f t="shared" si="16"/>
        <v>0.825</v>
      </c>
      <c r="E1308">
        <f t="shared" si="17"/>
        <v>0.925</v>
      </c>
    </row>
    <row r="1309" spans="1:5">
      <c r="A1309" s="2">
        <v>46093</v>
      </c>
      <c r="B1309" s="1">
        <v>42.42</v>
      </c>
      <c r="C1309" s="1">
        <v>57.88</v>
      </c>
      <c r="D1309">
        <f t="shared" si="16"/>
        <v>0.739</v>
      </c>
      <c r="E1309">
        <f t="shared" si="17"/>
        <v>0.869</v>
      </c>
    </row>
    <row r="1310" spans="1:5">
      <c r="A1310" s="2">
        <v>46094</v>
      </c>
      <c r="B1310" s="1">
        <v>41.9</v>
      </c>
      <c r="C1310" s="1">
        <v>57.2</v>
      </c>
      <c r="D1310">
        <f t="shared" si="16"/>
        <v>0.68</v>
      </c>
      <c r="E1310">
        <f t="shared" si="17"/>
        <v>0.797</v>
      </c>
    </row>
    <row r="1311" spans="1:5">
      <c r="A1311" s="2">
        <v>46097</v>
      </c>
      <c r="B1311" s="1">
        <v>42.62</v>
      </c>
      <c r="C1311" s="1">
        <v>57.37</v>
      </c>
      <c r="D1311">
        <f t="shared" si="16"/>
        <v>0.77</v>
      </c>
      <c r="E1311">
        <f t="shared" si="17"/>
        <v>0.813</v>
      </c>
    </row>
    <row r="1312" spans="1:5">
      <c r="A1312" s="2">
        <v>46098</v>
      </c>
      <c r="B1312" s="1">
        <v>42.19</v>
      </c>
      <c r="C1312" s="1">
        <v>56.89</v>
      </c>
      <c r="D1312">
        <f t="shared" si="16"/>
        <v>0.71</v>
      </c>
      <c r="E1312">
        <f t="shared" si="17"/>
        <v>0.763</v>
      </c>
    </row>
    <row r="1313" spans="1:5">
      <c r="A1313" s="2">
        <v>46099</v>
      </c>
      <c r="B1313" s="1">
        <v>43.62</v>
      </c>
      <c r="C1313" s="1">
        <v>58.38</v>
      </c>
      <c r="D1313">
        <f t="shared" si="16"/>
        <v>0.858</v>
      </c>
      <c r="E1313">
        <f t="shared" si="17"/>
        <v>0.913</v>
      </c>
    </row>
    <row r="1314" spans="1:5">
      <c r="A1314" s="2">
        <v>46100</v>
      </c>
      <c r="B1314" s="1">
        <v>42.8</v>
      </c>
      <c r="C1314" s="1">
        <v>57.47</v>
      </c>
      <c r="D1314">
        <f t="shared" si="16"/>
        <v>0.782</v>
      </c>
      <c r="E1314">
        <f t="shared" si="17"/>
        <v>0.822</v>
      </c>
    </row>
    <row r="1315" spans="1:5">
      <c r="A1315" s="2">
        <v>46101</v>
      </c>
      <c r="B1315" s="1">
        <v>44.78</v>
      </c>
      <c r="C1315" s="1">
        <v>59.07</v>
      </c>
      <c r="D1315">
        <f t="shared" si="16"/>
        <v>0.947</v>
      </c>
      <c r="E1315">
        <f t="shared" si="17"/>
        <v>0.957</v>
      </c>
    </row>
    <row r="1316" spans="1:5">
      <c r="A1316" s="2">
        <v>46104</v>
      </c>
      <c r="B1316" s="1">
        <v>40.28</v>
      </c>
      <c r="C1316" s="1">
        <v>54.7</v>
      </c>
      <c r="D1316">
        <f t="shared" si="16"/>
        <v>0.503</v>
      </c>
      <c r="E1316">
        <f t="shared" si="17"/>
        <v>0.55</v>
      </c>
    </row>
    <row r="1317" spans="1:5">
      <c r="A1317" s="2">
        <v>46105</v>
      </c>
      <c r="B1317" s="1">
        <v>42.15</v>
      </c>
      <c r="C1317" s="1">
        <v>56.77</v>
      </c>
      <c r="D1317">
        <f t="shared" si="16"/>
        <v>0.696</v>
      </c>
      <c r="E1317">
        <f t="shared" si="17"/>
        <v>0.748</v>
      </c>
    </row>
    <row r="1318" spans="1:5">
      <c r="A1318" s="2">
        <v>46106</v>
      </c>
      <c r="B1318" s="1">
        <v>44.4</v>
      </c>
      <c r="C1318" s="1">
        <v>59.41</v>
      </c>
      <c r="D1318">
        <f t="shared" si="16"/>
        <v>0.919</v>
      </c>
      <c r="E1318">
        <f t="shared" si="17"/>
        <v>0.963</v>
      </c>
    </row>
    <row r="1319" spans="1:5">
      <c r="A1319" s="2">
        <v>46107</v>
      </c>
      <c r="B1319" s="1">
        <v>43.89</v>
      </c>
      <c r="C1319" s="1">
        <v>58.95</v>
      </c>
      <c r="D1319">
        <f t="shared" si="16"/>
        <v>0.882</v>
      </c>
      <c r="E1319">
        <f t="shared" si="17"/>
        <v>0.949</v>
      </c>
    </row>
    <row r="1320" spans="1:5">
      <c r="A1320" s="2">
        <v>46108</v>
      </c>
      <c r="B1320" s="1">
        <v>42.88</v>
      </c>
      <c r="C1320" s="1">
        <v>58.04</v>
      </c>
      <c r="D1320">
        <f t="shared" si="16"/>
        <v>0.785</v>
      </c>
      <c r="E1320">
        <f t="shared" si="17"/>
        <v>0.873</v>
      </c>
    </row>
    <row r="1321" spans="1:5">
      <c r="A1321" s="2">
        <v>46111</v>
      </c>
      <c r="B1321" s="1">
        <v>41.79</v>
      </c>
      <c r="C1321" s="1">
        <v>57.37</v>
      </c>
      <c r="D1321">
        <f t="shared" si="16"/>
        <v>0.654</v>
      </c>
      <c r="E1321">
        <f t="shared" si="17"/>
        <v>0.803</v>
      </c>
    </row>
    <row r="1322" spans="1:5">
      <c r="A1322" s="2">
        <v>46112</v>
      </c>
      <c r="B1322" s="1">
        <v>43.06</v>
      </c>
      <c r="C1322" s="1">
        <v>58.06</v>
      </c>
      <c r="D1322">
        <f t="shared" si="16"/>
        <v>0.802</v>
      </c>
      <c r="E1322">
        <f t="shared" si="17"/>
        <v>0.874</v>
      </c>
    </row>
    <row r="1323" spans="1:5">
      <c r="A1323" s="2">
        <v>46113</v>
      </c>
      <c r="B1323" s="1">
        <v>43.09</v>
      </c>
      <c r="C1323" s="1">
        <v>58.14</v>
      </c>
      <c r="D1323">
        <f t="shared" si="16"/>
        <v>0.803</v>
      </c>
      <c r="E1323">
        <f t="shared" si="17"/>
        <v>0.881</v>
      </c>
    </row>
    <row r="1324" spans="1:5">
      <c r="A1324" s="2">
        <v>46114</v>
      </c>
      <c r="B1324" s="1">
        <v>41.63</v>
      </c>
      <c r="C1324" s="1">
        <v>56.93</v>
      </c>
      <c r="D1324">
        <f t="shared" si="16"/>
        <v>0.636</v>
      </c>
      <c r="E1324">
        <f t="shared" si="17"/>
        <v>0.761</v>
      </c>
    </row>
    <row r="1325" spans="1:5">
      <c r="A1325" s="2">
        <v>46115</v>
      </c>
      <c r="B1325" s="1">
        <v>42.68</v>
      </c>
      <c r="C1325" s="1">
        <v>57.51</v>
      </c>
      <c r="D1325">
        <f t="shared" si="16"/>
        <v>0.763</v>
      </c>
      <c r="E1325">
        <f t="shared" si="17"/>
        <v>0.815</v>
      </c>
    </row>
    <row r="1326" spans="1:5">
      <c r="A1326" s="2">
        <v>46119</v>
      </c>
      <c r="B1326" s="1">
        <v>43.54</v>
      </c>
      <c r="C1326" s="1">
        <v>58.34</v>
      </c>
      <c r="D1326">
        <f t="shared" si="16"/>
        <v>0.845</v>
      </c>
      <c r="E1326">
        <f t="shared" si="17"/>
        <v>0.899</v>
      </c>
    </row>
    <row r="1327" spans="1:5">
      <c r="A1327" s="2">
        <v>46120</v>
      </c>
      <c r="B1327" s="1">
        <v>43.57</v>
      </c>
      <c r="C1327" s="1">
        <v>58.46</v>
      </c>
      <c r="D1327">
        <f t="shared" ref="D1327:D1390" si="18">PERCENTRANK(B578:B1327,B1327)</f>
        <v>0.846</v>
      </c>
      <c r="E1327">
        <f t="shared" ref="E1327:E1390" si="19">PERCENTRANK(C578:C1327,C1327)</f>
        <v>0.915</v>
      </c>
    </row>
    <row r="1328" spans="1:5">
      <c r="A1328" s="2">
        <v>46121</v>
      </c>
      <c r="B1328" s="1">
        <v>44.92</v>
      </c>
      <c r="C1328" s="1">
        <v>60.34</v>
      </c>
      <c r="D1328">
        <f t="shared" si="18"/>
        <v>0.954</v>
      </c>
      <c r="E1328">
        <f t="shared" si="19"/>
        <v>0.987</v>
      </c>
    </row>
    <row r="1329" spans="1:5">
      <c r="A1329" s="2">
        <v>46122</v>
      </c>
      <c r="B1329" s="1">
        <v>46.81</v>
      </c>
      <c r="C1329" s="1">
        <v>61.46</v>
      </c>
      <c r="D1329">
        <f t="shared" si="18"/>
        <v>0.995</v>
      </c>
      <c r="E1329">
        <f t="shared" si="19"/>
        <v>1</v>
      </c>
    </row>
    <row r="1330" spans="1:5">
      <c r="A1330" s="2">
        <v>46125</v>
      </c>
      <c r="B1330" s="1">
        <v>46.01</v>
      </c>
      <c r="C1330" s="1">
        <v>60.87</v>
      </c>
      <c r="D1330">
        <f t="shared" si="18"/>
        <v>0.981</v>
      </c>
      <c r="E1330">
        <f t="shared" si="19"/>
        <v>0.994</v>
      </c>
    </row>
    <row r="1331" spans="1:5">
      <c r="A1331" s="2">
        <v>46126</v>
      </c>
      <c r="B1331" s="1">
        <v>46.56</v>
      </c>
      <c r="C1331" s="1">
        <v>61.55</v>
      </c>
      <c r="D1331">
        <f t="shared" si="18"/>
        <v>0.99</v>
      </c>
      <c r="E1331">
        <f t="shared" si="19"/>
        <v>1</v>
      </c>
    </row>
    <row r="1332" spans="1:5">
      <c r="A1332" s="2">
        <v>46127</v>
      </c>
      <c r="B1332" s="1">
        <v>45.67</v>
      </c>
      <c r="C1332" s="1">
        <v>60.8</v>
      </c>
      <c r="D1332">
        <f t="shared" si="18"/>
        <v>0.975</v>
      </c>
      <c r="E1332">
        <f t="shared" si="19"/>
        <v>0.991</v>
      </c>
    </row>
    <row r="1333" spans="1:5">
      <c r="A1333" s="2">
        <v>46128</v>
      </c>
      <c r="B1333" s="1">
        <v>45.05</v>
      </c>
      <c r="C1333" s="1">
        <v>60.42</v>
      </c>
      <c r="D1333">
        <f t="shared" si="18"/>
        <v>0.955</v>
      </c>
      <c r="E1333">
        <f t="shared" si="19"/>
        <v>0.983</v>
      </c>
    </row>
    <row r="1334" spans="1:5">
      <c r="A1334" s="2">
        <v>46129</v>
      </c>
      <c r="B1334" s="1">
        <v>45.28</v>
      </c>
      <c r="C1334" s="1">
        <v>59.99</v>
      </c>
      <c r="D1334">
        <f t="shared" si="18"/>
        <v>0.965</v>
      </c>
      <c r="E1334">
        <f t="shared" si="19"/>
        <v>0.974</v>
      </c>
    </row>
    <row r="1335" spans="1:5">
      <c r="A1335" s="2">
        <v>46132</v>
      </c>
      <c r="B1335" s="1">
        <v>45.32</v>
      </c>
      <c r="C1335" s="1">
        <v>60.1</v>
      </c>
      <c r="D1335">
        <f t="shared" si="18"/>
        <v>0.965</v>
      </c>
      <c r="E1335">
        <f t="shared" si="19"/>
        <v>0.975</v>
      </c>
    </row>
    <row r="1336" spans="1:5">
      <c r="A1336" s="2">
        <v>46133</v>
      </c>
      <c r="B1336" s="1">
        <v>45.24</v>
      </c>
      <c r="C1336" s="1">
        <v>59.69</v>
      </c>
      <c r="D1336">
        <f t="shared" si="18"/>
        <v>0.961</v>
      </c>
      <c r="E1336">
        <f t="shared" si="19"/>
        <v>0.965</v>
      </c>
    </row>
    <row r="1337" spans="1:5">
      <c r="A1337" s="2">
        <v>46134</v>
      </c>
      <c r="B1337" s="1">
        <v>46.21</v>
      </c>
      <c r="C1337" s="1">
        <v>61.06</v>
      </c>
      <c r="D1337">
        <f t="shared" si="18"/>
        <v>0.986</v>
      </c>
      <c r="E1337">
        <f t="shared" si="19"/>
        <v>0.995</v>
      </c>
    </row>
    <row r="1338" spans="1:5">
      <c r="A1338" s="2">
        <v>46135</v>
      </c>
      <c r="B1338" s="1">
        <v>46.45</v>
      </c>
      <c r="C1338" s="1">
        <v>61.03</v>
      </c>
      <c r="D1338">
        <f t="shared" si="18"/>
        <v>0.989</v>
      </c>
      <c r="E1338">
        <f t="shared" si="19"/>
        <v>0.994</v>
      </c>
    </row>
    <row r="1339" spans="1:5">
      <c r="A1339" s="2">
        <v>46136</v>
      </c>
      <c r="B1339" s="1">
        <v>47.96</v>
      </c>
      <c r="C1339" s="1">
        <v>62.37</v>
      </c>
      <c r="D1339">
        <f t="shared" si="18"/>
        <v>1</v>
      </c>
      <c r="E1339">
        <f t="shared" si="19"/>
        <v>1</v>
      </c>
    </row>
    <row r="1340" spans="1:5">
      <c r="A1340" s="2">
        <v>46139</v>
      </c>
      <c r="B1340" s="1">
        <v>45.97</v>
      </c>
      <c r="C1340" s="1">
        <v>60.29</v>
      </c>
      <c r="D1340">
        <f t="shared" si="18"/>
        <v>0.973</v>
      </c>
      <c r="E1340">
        <f t="shared" si="19"/>
        <v>0.974</v>
      </c>
    </row>
    <row r="1341" spans="1:5">
      <c r="A1341" s="2">
        <v>46140</v>
      </c>
      <c r="B1341" s="1">
        <v>43.74</v>
      </c>
      <c r="C1341" s="1">
        <v>58.74</v>
      </c>
      <c r="D1341">
        <f t="shared" si="18"/>
        <v>0.846</v>
      </c>
      <c r="E1341">
        <f t="shared" si="19"/>
        <v>0.914</v>
      </c>
    </row>
    <row r="1342" spans="1:5">
      <c r="A1342" s="2">
        <v>46141</v>
      </c>
      <c r="B1342" s="1">
        <v>44.92</v>
      </c>
      <c r="C1342" s="1">
        <v>59.93</v>
      </c>
      <c r="D1342">
        <f t="shared" si="18"/>
        <v>0.937</v>
      </c>
      <c r="E1342">
        <f t="shared" si="19"/>
        <v>0.966</v>
      </c>
    </row>
    <row r="1343" spans="1:5">
      <c r="A1343" s="2">
        <v>46142</v>
      </c>
      <c r="B1343" s="1">
        <v>45.42</v>
      </c>
      <c r="C1343" s="1">
        <v>60.48</v>
      </c>
      <c r="D1343">
        <f t="shared" si="18"/>
        <v>0.962</v>
      </c>
      <c r="E1343">
        <f t="shared" si="19"/>
        <v>0.982</v>
      </c>
    </row>
    <row r="1344" spans="1:5">
      <c r="A1344" s="2">
        <v>46148</v>
      </c>
      <c r="B1344" s="1">
        <v>45.74</v>
      </c>
      <c r="C1344" s="1">
        <v>60.67</v>
      </c>
      <c r="D1344">
        <f t="shared" si="18"/>
        <v>0.97</v>
      </c>
      <c r="E1344">
        <f t="shared" si="19"/>
        <v>0.983</v>
      </c>
    </row>
    <row r="1345" spans="1:5">
      <c r="A1345" s="2">
        <v>46149</v>
      </c>
      <c r="B1345" s="1">
        <v>45.56</v>
      </c>
      <c r="C1345" s="1">
        <v>60.82</v>
      </c>
      <c r="D1345">
        <f t="shared" si="18"/>
        <v>0.963</v>
      </c>
      <c r="E1345">
        <f t="shared" si="19"/>
        <v>0.987</v>
      </c>
    </row>
    <row r="1346" spans="1:5">
      <c r="A1346" s="2">
        <v>46150</v>
      </c>
      <c r="B1346" s="1">
        <v>44.58</v>
      </c>
      <c r="C1346" s="1">
        <v>59.28</v>
      </c>
      <c r="D1346">
        <f t="shared" si="18"/>
        <v>0.911</v>
      </c>
      <c r="E1346">
        <f t="shared" si="19"/>
        <v>0.939</v>
      </c>
    </row>
    <row r="1347" spans="1:5">
      <c r="A1347" s="2">
        <v>46153</v>
      </c>
      <c r="B1347" s="1">
        <v>44.93</v>
      </c>
      <c r="C1347" s="1">
        <v>59.83</v>
      </c>
      <c r="D1347">
        <f t="shared" si="18"/>
        <v>0.934</v>
      </c>
      <c r="E1347">
        <f t="shared" si="19"/>
        <v>0.958</v>
      </c>
    </row>
    <row r="1348" spans="1:5">
      <c r="A1348" s="2">
        <v>46154</v>
      </c>
      <c r="B1348" s="1">
        <v>45.26</v>
      </c>
      <c r="C1348" s="1">
        <v>60.41</v>
      </c>
      <c r="D1348">
        <f t="shared" si="18"/>
        <v>0.951</v>
      </c>
      <c r="E1348">
        <f t="shared" si="19"/>
        <v>0.974</v>
      </c>
    </row>
    <row r="1349" spans="1:5">
      <c r="A1349" s="2">
        <v>46155</v>
      </c>
      <c r="B1349" s="1">
        <v>45.7</v>
      </c>
      <c r="C1349" s="1">
        <v>60.86</v>
      </c>
      <c r="D1349">
        <f t="shared" si="18"/>
        <v>0.969</v>
      </c>
      <c r="E1349">
        <f t="shared" si="19"/>
        <v>0.987</v>
      </c>
    </row>
    <row r="1350" spans="1:5">
      <c r="A1350" s="2">
        <v>46156</v>
      </c>
      <c r="B1350" s="1">
        <v>45.88</v>
      </c>
      <c r="C1350" s="1">
        <v>60.82</v>
      </c>
      <c r="D1350">
        <f t="shared" si="18"/>
        <v>0.97</v>
      </c>
      <c r="E1350">
        <f t="shared" si="19"/>
        <v>0.985</v>
      </c>
    </row>
    <row r="1351" spans="1:5">
      <c r="A1351" s="2">
        <v>46157</v>
      </c>
      <c r="B1351" s="1">
        <v>45.99</v>
      </c>
      <c r="C1351" s="1">
        <v>61.11</v>
      </c>
      <c r="D1351">
        <f t="shared" si="18"/>
        <v>0.975</v>
      </c>
      <c r="E1351">
        <f t="shared" si="19"/>
        <v>0.994</v>
      </c>
    </row>
    <row r="1352" spans="1:5">
      <c r="A1352" s="2">
        <v>46160</v>
      </c>
      <c r="B1352" s="1">
        <v>44.74</v>
      </c>
      <c r="C1352" s="1">
        <v>60.04</v>
      </c>
      <c r="D1352">
        <f t="shared" si="18"/>
        <v>0.918</v>
      </c>
      <c r="E1352">
        <f t="shared" si="19"/>
        <v>0.959</v>
      </c>
    </row>
    <row r="1353" spans="1:5">
      <c r="A1353" s="2">
        <v>46161</v>
      </c>
      <c r="B1353" s="1">
        <v>45.1</v>
      </c>
      <c r="C1353" s="1">
        <v>60.25</v>
      </c>
      <c r="D1353">
        <f t="shared" si="18"/>
        <v>0.942</v>
      </c>
      <c r="E1353">
        <f t="shared" si="19"/>
        <v>0.963</v>
      </c>
    </row>
    <row r="1354" spans="1:5">
      <c r="A1354" s="2">
        <v>46162</v>
      </c>
      <c r="B1354" s="1">
        <v>45.47</v>
      </c>
      <c r="C1354" s="1">
        <v>60.9</v>
      </c>
      <c r="D1354">
        <f t="shared" si="18"/>
        <v>0.958</v>
      </c>
      <c r="E1354">
        <f t="shared" si="19"/>
        <v>0.987</v>
      </c>
    </row>
    <row r="1355" spans="1:5">
      <c r="A1355" s="2">
        <v>46163</v>
      </c>
      <c r="B1355" s="1">
        <v>45.02</v>
      </c>
      <c r="C1355" s="1">
        <v>60.18</v>
      </c>
      <c r="D1355">
        <f t="shared" si="18"/>
        <v>0.937</v>
      </c>
      <c r="E1355">
        <f t="shared" si="19"/>
        <v>0.961</v>
      </c>
    </row>
    <row r="1356" spans="1:5">
      <c r="A1356" s="2">
        <v>46164</v>
      </c>
      <c r="B1356" s="1">
        <v>46.6</v>
      </c>
      <c r="C1356" s="1">
        <v>61.16</v>
      </c>
      <c r="D1356">
        <f t="shared" si="18"/>
        <v>0.989</v>
      </c>
      <c r="E1356">
        <f t="shared" si="19"/>
        <v>0.995</v>
      </c>
    </row>
    <row r="1357" spans="1:5">
      <c r="A1357" s="2">
        <v>46167</v>
      </c>
      <c r="B1357" s="1">
        <v>47.77</v>
      </c>
      <c r="C1357" s="1">
        <v>62.54</v>
      </c>
      <c r="D1357">
        <f t="shared" si="18"/>
        <v>0.998</v>
      </c>
      <c r="E1357">
        <f t="shared" si="19"/>
        <v>1</v>
      </c>
    </row>
    <row r="1358" spans="1:5">
      <c r="A1358" s="2">
        <v>46168</v>
      </c>
      <c r="B1358" s="1">
        <v>48.62</v>
      </c>
      <c r="C1358" s="1">
        <v>63.28</v>
      </c>
      <c r="D1358">
        <f t="shared" si="18"/>
        <v>1</v>
      </c>
      <c r="E1358">
        <f t="shared" si="19"/>
        <v>1</v>
      </c>
    </row>
    <row r="1359" spans="1:5">
      <c r="A1359" s="2">
        <v>46169</v>
      </c>
      <c r="B1359" s="1">
        <v>49.48</v>
      </c>
      <c r="C1359" s="1">
        <v>63.67</v>
      </c>
      <c r="D1359">
        <f t="shared" si="18"/>
        <v>1</v>
      </c>
      <c r="E1359">
        <f t="shared" si="19"/>
        <v>1</v>
      </c>
    </row>
    <row r="1360" spans="1:5">
      <c r="A1360" s="2">
        <v>46170</v>
      </c>
      <c r="B1360" s="1">
        <v>48.89</v>
      </c>
      <c r="C1360" s="1">
        <v>63.34</v>
      </c>
      <c r="D1360">
        <f t="shared" si="18"/>
        <v>0.998</v>
      </c>
      <c r="E1360">
        <f t="shared" si="19"/>
        <v>0.998</v>
      </c>
    </row>
    <row r="1361" spans="1:5">
      <c r="A1361" s="2">
        <v>46171</v>
      </c>
      <c r="B1361" s="1">
        <v>48.47</v>
      </c>
      <c r="C1361" s="1">
        <v>62.87</v>
      </c>
      <c r="D1361">
        <f t="shared" si="18"/>
        <v>0.995</v>
      </c>
      <c r="E1361">
        <f t="shared" si="19"/>
        <v>0.995</v>
      </c>
    </row>
    <row r="1362" spans="1:5">
      <c r="A1362" s="2">
        <v>46174</v>
      </c>
      <c r="B1362" s="1">
        <v>48.47</v>
      </c>
      <c r="C1362" s="1">
        <v>62.59</v>
      </c>
      <c r="D1362">
        <f t="shared" si="18"/>
        <v>0.994</v>
      </c>
      <c r="E1362">
        <f t="shared" si="19"/>
        <v>0.994</v>
      </c>
    </row>
    <row r="1363" spans="1:5">
      <c r="A1363" s="2">
        <v>46175</v>
      </c>
      <c r="B1363" s="1">
        <v>49.2</v>
      </c>
      <c r="C1363" s="1">
        <v>63.41</v>
      </c>
      <c r="D1363">
        <f t="shared" si="18"/>
        <v>0.998</v>
      </c>
      <c r="E1363">
        <f t="shared" si="19"/>
        <v>0.998</v>
      </c>
    </row>
    <row r="1364" spans="1:5">
      <c r="A1364" s="2">
        <v>46176</v>
      </c>
      <c r="B1364" s="1">
        <v>51.72</v>
      </c>
      <c r="C1364" s="1">
        <v>66</v>
      </c>
      <c r="D1364">
        <f t="shared" si="18"/>
        <v>1</v>
      </c>
      <c r="E1364">
        <f t="shared" si="19"/>
        <v>1</v>
      </c>
    </row>
    <row r="1365" spans="1:5">
      <c r="A1365" s="2">
        <v>46177</v>
      </c>
      <c r="B1365" s="1">
        <v>49.4</v>
      </c>
      <c r="C1365" s="1">
        <v>64.33</v>
      </c>
      <c r="D1365">
        <f t="shared" si="18"/>
        <v>0.997</v>
      </c>
      <c r="E1365">
        <f t="shared" si="19"/>
        <v>0.998</v>
      </c>
    </row>
    <row r="1366" spans="1:5">
      <c r="A1366" s="2">
        <v>46178</v>
      </c>
      <c r="B1366" s="1">
        <v>50.11</v>
      </c>
      <c r="C1366" s="1">
        <v>64.57</v>
      </c>
      <c r="D1366">
        <f t="shared" si="18"/>
        <v>0.998</v>
      </c>
      <c r="E1366">
        <f t="shared" si="19"/>
        <v>0.998</v>
      </c>
    </row>
    <row r="1367" spans="1:5">
      <c r="A1367" s="2">
        <v>46181</v>
      </c>
      <c r="B1367" s="1">
        <v>47.57</v>
      </c>
      <c r="C1367" s="1">
        <v>61.99</v>
      </c>
      <c r="D1367">
        <f t="shared" si="18"/>
        <v>0.985</v>
      </c>
      <c r="E1367">
        <f t="shared" si="19"/>
        <v>0.985</v>
      </c>
    </row>
    <row r="1368" spans="1:5">
      <c r="A1368" s="2">
        <v>46182</v>
      </c>
      <c r="B1368" s="1">
        <v>49.69</v>
      </c>
      <c r="C1368" s="1">
        <v>64.22</v>
      </c>
      <c r="D1368">
        <f t="shared" si="18"/>
        <v>0.997</v>
      </c>
      <c r="E1368">
        <f t="shared" si="19"/>
        <v>0.995</v>
      </c>
    </row>
    <row r="1369" spans="1:5">
      <c r="A1369" s="2">
        <v>46183</v>
      </c>
      <c r="B1369" s="1">
        <v>48.63</v>
      </c>
      <c r="C1369" s="1">
        <v>63.45</v>
      </c>
      <c r="D1369">
        <f t="shared" si="18"/>
        <v>0.99</v>
      </c>
      <c r="E1369">
        <f t="shared" si="19"/>
        <v>0.993</v>
      </c>
    </row>
    <row r="1370" spans="1:5">
      <c r="A1370" s="2">
        <v>46184</v>
      </c>
      <c r="B1370" s="1">
        <v>49.11</v>
      </c>
      <c r="C1370" s="1">
        <v>64.06</v>
      </c>
      <c r="D1370">
        <f t="shared" si="18"/>
        <v>0.991</v>
      </c>
      <c r="E1370">
        <f t="shared" si="19"/>
        <v>0.994</v>
      </c>
    </row>
    <row r="1371" spans="1:5">
      <c r="A1371" s="2">
        <v>46185</v>
      </c>
      <c r="B1371" s="1">
        <v>49.68</v>
      </c>
      <c r="C1371" s="1">
        <v>65.01</v>
      </c>
      <c r="D1371">
        <f t="shared" si="18"/>
        <v>0.995</v>
      </c>
      <c r="E1371">
        <f t="shared" si="19"/>
        <v>0.998</v>
      </c>
    </row>
    <row r="1372" spans="1:5">
      <c r="A1372" s="2">
        <v>46188</v>
      </c>
      <c r="B1372" s="1">
        <v>48.85</v>
      </c>
      <c r="C1372" s="1">
        <v>64.08</v>
      </c>
      <c r="D1372">
        <f t="shared" si="18"/>
        <v>0.987</v>
      </c>
      <c r="E1372">
        <f t="shared" si="19"/>
        <v>0.993</v>
      </c>
    </row>
    <row r="1373" spans="1:5">
      <c r="A1373" s="2">
        <v>46189</v>
      </c>
      <c r="B1373" s="1">
        <v>49.84</v>
      </c>
      <c r="C1373" s="1">
        <v>65</v>
      </c>
      <c r="D1373">
        <f t="shared" si="18"/>
        <v>0.997</v>
      </c>
      <c r="E1373">
        <f t="shared" si="19"/>
        <v>0.997</v>
      </c>
    </row>
    <row r="1374" spans="1:5">
      <c r="A1374" s="2">
        <v>46190</v>
      </c>
      <c r="B1374" s="1">
        <v>51.2</v>
      </c>
      <c r="C1374" s="1">
        <v>66.15</v>
      </c>
      <c r="D1374">
        <f t="shared" si="18"/>
        <v>0.998</v>
      </c>
      <c r="E1374">
        <f t="shared" si="19"/>
        <v>1</v>
      </c>
    </row>
    <row r="1375" spans="1:5">
      <c r="A1375" s="2">
        <v>46191</v>
      </c>
      <c r="B1375" s="1">
        <v>51.97</v>
      </c>
      <c r="C1375" s="1">
        <v>66.78</v>
      </c>
      <c r="D1375">
        <f t="shared" si="18"/>
        <v>1</v>
      </c>
      <c r="E1375">
        <f t="shared" si="19"/>
        <v>1</v>
      </c>
    </row>
    <row r="1376" spans="1:5">
      <c r="A1376" s="2">
        <v>46195</v>
      </c>
      <c r="B1376" s="1">
        <v>50.85</v>
      </c>
      <c r="C1376" s="1">
        <v>65.67</v>
      </c>
      <c r="D1376">
        <f t="shared" si="18"/>
        <v>0.995</v>
      </c>
      <c r="E1376">
        <f t="shared" si="19"/>
        <v>0.995</v>
      </c>
    </row>
    <row r="1377" spans="1:5">
      <c r="A1377" s="2">
        <v>46196</v>
      </c>
      <c r="B1377" s="1">
        <v>51.93</v>
      </c>
      <c r="C1377" s="1">
        <v>66.31</v>
      </c>
      <c r="D1377">
        <f t="shared" si="18"/>
        <v>0.998</v>
      </c>
      <c r="E1377">
        <f t="shared" si="19"/>
        <v>0.998</v>
      </c>
    </row>
    <row r="1378" spans="1:5">
      <c r="A1378" s="2">
        <v>46197</v>
      </c>
      <c r="B1378" s="1">
        <v>51.82</v>
      </c>
      <c r="C1378" s="1">
        <v>66.51</v>
      </c>
      <c r="D1378">
        <f t="shared" si="18"/>
        <v>0.997</v>
      </c>
      <c r="E1378">
        <f t="shared" si="19"/>
        <v>0.998</v>
      </c>
    </row>
    <row r="1379" spans="1:5">
      <c r="A1379" s="2">
        <v>46198</v>
      </c>
      <c r="B1379" s="1">
        <v>53.24</v>
      </c>
      <c r="C1379" s="1">
        <v>67.87</v>
      </c>
      <c r="D1379">
        <f t="shared" si="18"/>
        <v>1</v>
      </c>
      <c r="E1379">
        <f t="shared" si="19"/>
        <v>1</v>
      </c>
    </row>
    <row r="1380" spans="1:5">
      <c r="A1380" s="2">
        <v>46199</v>
      </c>
      <c r="B1380" s="1">
        <v>53.76</v>
      </c>
      <c r="C1380" s="1">
        <v>68.61</v>
      </c>
      <c r="D1380">
        <f t="shared" si="18"/>
        <v>1</v>
      </c>
      <c r="E1380">
        <f t="shared" si="19"/>
        <v>1</v>
      </c>
    </row>
    <row r="1381" spans="1:5">
      <c r="A1381" s="2">
        <v>46202</v>
      </c>
      <c r="B1381" s="1">
        <v>52.95</v>
      </c>
      <c r="C1381" s="1">
        <v>67.74</v>
      </c>
      <c r="D1381">
        <f t="shared" si="18"/>
        <v>0.997</v>
      </c>
      <c r="E1381">
        <f t="shared" si="19"/>
        <v>0.997</v>
      </c>
    </row>
    <row r="1382" spans="1:5">
      <c r="A1382" s="2">
        <v>46203</v>
      </c>
      <c r="B1382" s="1">
        <v>52.41</v>
      </c>
      <c r="C1382" s="1">
        <v>67.46</v>
      </c>
      <c r="D1382">
        <f t="shared" si="18"/>
        <v>0.995</v>
      </c>
      <c r="E1382">
        <f t="shared" si="19"/>
        <v>0.995</v>
      </c>
    </row>
    <row r="1383" spans="1:5">
      <c r="A1383" s="2">
        <v>46204</v>
      </c>
      <c r="B1383" s="1">
        <v>51.57</v>
      </c>
      <c r="C1383" s="1">
        <v>66.45</v>
      </c>
      <c r="D1383">
        <f t="shared" si="18"/>
        <v>0.989</v>
      </c>
      <c r="E1383">
        <f t="shared" si="19"/>
        <v>0.991</v>
      </c>
    </row>
    <row r="1384" spans="1:5">
      <c r="A1384" s="2">
        <v>46205</v>
      </c>
      <c r="B1384" s="1">
        <v>50.6</v>
      </c>
      <c r="C1384" s="1">
        <v>65.52</v>
      </c>
      <c r="D1384">
        <f t="shared" si="18"/>
        <v>0.985</v>
      </c>
      <c r="E1384">
        <f t="shared" si="19"/>
        <v>0.985</v>
      </c>
    </row>
    <row r="1385" spans="1:5">
      <c r="A1385" s="2">
        <v>46206</v>
      </c>
      <c r="B1385" s="1">
        <v>50.06</v>
      </c>
      <c r="C1385" s="1">
        <v>65.12</v>
      </c>
      <c r="D1385">
        <f t="shared" si="18"/>
        <v>0.982</v>
      </c>
      <c r="E1385">
        <f t="shared" si="19"/>
        <v>0.983</v>
      </c>
    </row>
    <row r="1386" spans="1:5">
      <c r="A1386" s="2">
        <v>46209</v>
      </c>
      <c r="B1386" s="1">
        <v>49.46</v>
      </c>
      <c r="C1386" s="1">
        <v>64.74</v>
      </c>
      <c r="D1386">
        <f t="shared" si="18"/>
        <v>0.975</v>
      </c>
      <c r="E1386">
        <f t="shared" si="19"/>
        <v>0.979</v>
      </c>
    </row>
    <row r="1387" spans="1:5">
      <c r="A1387" s="2">
        <v>46210</v>
      </c>
      <c r="B1387" s="1">
        <v>50.16</v>
      </c>
      <c r="C1387" s="1">
        <v>65.1</v>
      </c>
      <c r="D1387">
        <f t="shared" si="18"/>
        <v>0.983</v>
      </c>
      <c r="E1387">
        <f t="shared" si="19"/>
        <v>0.982</v>
      </c>
    </row>
    <row r="1388" spans="1:5">
      <c r="A1388" s="2">
        <v>46211</v>
      </c>
      <c r="B1388" s="1">
        <v>51.65</v>
      </c>
      <c r="C1388" s="1">
        <v>66.24</v>
      </c>
      <c r="D1388">
        <f t="shared" si="18"/>
        <v>0.989</v>
      </c>
      <c r="E1388">
        <f t="shared" si="19"/>
        <v>0.989</v>
      </c>
    </row>
    <row r="1389" spans="1:5">
      <c r="A1389" s="2">
        <v>46212</v>
      </c>
      <c r="B1389" s="1">
        <v>54.3</v>
      </c>
      <c r="C1389" s="1">
        <v>68.49</v>
      </c>
      <c r="D1389">
        <f t="shared" si="18"/>
        <v>1</v>
      </c>
      <c r="E1389">
        <f t="shared" si="19"/>
        <v>0.998</v>
      </c>
    </row>
    <row r="1390" spans="1:5">
      <c r="A1390" s="2">
        <v>46213</v>
      </c>
      <c r="B1390" s="1">
        <v>53.5</v>
      </c>
      <c r="C1390" s="1">
        <v>68.08</v>
      </c>
      <c r="D1390">
        <f t="shared" si="18"/>
        <v>0.997</v>
      </c>
      <c r="E1390">
        <f t="shared" si="19"/>
        <v>0.997</v>
      </c>
    </row>
    <row r="1391" spans="1:5">
      <c r="A1391" s="2">
        <v>46216</v>
      </c>
      <c r="B1391" s="1">
        <v>51.36</v>
      </c>
      <c r="C1391" s="1">
        <v>65.76</v>
      </c>
      <c r="D1391">
        <f t="shared" ref="D1391:D1454" si="20">PERCENTRANK(B642:B1391,B1391)</f>
        <v>0.983</v>
      </c>
      <c r="E1391">
        <f t="shared" ref="E1391:E1454" si="21">PERCENTRANK(C642:C1391,C1391)</f>
        <v>0.982</v>
      </c>
    </row>
    <row r="1392" spans="1:5">
      <c r="A1392" s="2">
        <v>46217</v>
      </c>
      <c r="B1392" s="1">
        <v>54.1</v>
      </c>
      <c r="C1392" s="1">
        <v>67.86</v>
      </c>
      <c r="D1392">
        <f t="shared" si="20"/>
        <v>0.998</v>
      </c>
      <c r="E1392">
        <f t="shared" si="21"/>
        <v>0.994</v>
      </c>
    </row>
    <row r="1393" spans="1:5">
      <c r="A1393" s="2">
        <v>46218</v>
      </c>
      <c r="B1393" s="1">
        <v>51.63</v>
      </c>
      <c r="C1393" s="1">
        <v>65.3</v>
      </c>
      <c r="D1393">
        <f t="shared" si="20"/>
        <v>0.983</v>
      </c>
      <c r="E1393">
        <f t="shared" si="21"/>
        <v>0.977</v>
      </c>
    </row>
    <row r="1394" spans="1:5">
      <c r="A1394" s="2">
        <v>46219</v>
      </c>
      <c r="B1394" s="1">
        <v>50.67</v>
      </c>
      <c r="C1394" s="1">
        <v>64.48</v>
      </c>
      <c r="D1394">
        <f t="shared" si="20"/>
        <v>0.977</v>
      </c>
      <c r="E1394">
        <f t="shared" si="21"/>
        <v>0.967</v>
      </c>
    </row>
    <row r="1395" spans="1:5">
      <c r="A1395" s="2">
        <v>46220</v>
      </c>
      <c r="B1395" s="1">
        <v>49.8</v>
      </c>
      <c r="C1395" s="1">
        <v>63.26</v>
      </c>
      <c r="D1395">
        <f t="shared" si="20"/>
        <v>0.969</v>
      </c>
      <c r="E1395">
        <f t="shared" si="21"/>
        <v>0.954</v>
      </c>
    </row>
    <row r="1396" spans="1:5">
      <c r="A1396" s="2">
        <v>46223</v>
      </c>
      <c r="B1396" s="1">
        <v>49.09</v>
      </c>
      <c r="C1396" s="1">
        <v>62.86</v>
      </c>
      <c r="D1396">
        <f t="shared" si="20"/>
        <v>0.958</v>
      </c>
      <c r="E1396">
        <f t="shared" si="21"/>
        <v>0.951</v>
      </c>
    </row>
    <row r="1397" spans="1:5">
      <c r="A1397" s="2">
        <v>46224</v>
      </c>
      <c r="B1397" s="1">
        <v>51.01</v>
      </c>
      <c r="C1397" s="1">
        <v>64.62</v>
      </c>
      <c r="D1397">
        <f t="shared" si="20"/>
        <v>0.978</v>
      </c>
      <c r="E1397">
        <f t="shared" si="21"/>
        <v>0.969</v>
      </c>
    </row>
    <row r="1398" spans="1:5">
      <c r="A1398" s="2">
        <v>46225</v>
      </c>
      <c r="B1398" s="1">
        <v>54.19</v>
      </c>
      <c r="C1398" s="1">
        <v>67.67</v>
      </c>
      <c r="D1398">
        <f t="shared" si="20"/>
        <v>0.998</v>
      </c>
      <c r="E1398">
        <f t="shared" si="21"/>
        <v>0.991</v>
      </c>
    </row>
    <row r="1399" spans="1:5">
      <c r="A1399" s="2">
        <v>46226</v>
      </c>
      <c r="B1399" s="1">
        <v>51.94</v>
      </c>
      <c r="C1399" s="1">
        <v>65.5</v>
      </c>
      <c r="D1399">
        <f t="shared" si="20"/>
        <v>0.987</v>
      </c>
      <c r="E1399">
        <f t="shared" si="21"/>
        <v>0.975</v>
      </c>
    </row>
    <row r="1400" spans="1:5">
      <c r="A1400" s="2">
        <v>46227</v>
      </c>
      <c r="B1400" s="1">
        <v>50.84</v>
      </c>
      <c r="C1400" s="1">
        <v>64.7</v>
      </c>
      <c r="D1400">
        <f t="shared" si="20"/>
        <v>0.973</v>
      </c>
      <c r="E1400">
        <f t="shared" si="21"/>
        <v>0.966</v>
      </c>
    </row>
    <row r="1401" spans="1:5">
      <c r="A1401" s="2">
        <v>46230</v>
      </c>
      <c r="B1401" s="1">
        <v>54.15</v>
      </c>
      <c r="C1401" s="1">
        <v>66.77</v>
      </c>
      <c r="D1401">
        <f t="shared" si="20"/>
        <v>0.997</v>
      </c>
      <c r="E1401">
        <f t="shared" si="21"/>
        <v>0.987</v>
      </c>
    </row>
    <row r="1402" spans="1:5">
      <c r="A1402" s="2">
        <v>46231</v>
      </c>
      <c r="B1402" s="1">
        <v>52.86</v>
      </c>
      <c r="C1402" s="1">
        <v>65.8</v>
      </c>
      <c r="D1402">
        <f t="shared" si="20"/>
        <v>0.989</v>
      </c>
      <c r="E1402">
        <f t="shared" si="21"/>
        <v>0.978</v>
      </c>
    </row>
    <row r="1403" spans="1:5">
      <c r="A1403" s="2">
        <v>46232</v>
      </c>
      <c r="B1403" s="1">
        <v>51.04</v>
      </c>
      <c r="C1403" s="1">
        <v>64.15</v>
      </c>
      <c r="D1403">
        <f t="shared" si="20"/>
        <v>0.973</v>
      </c>
      <c r="E1403">
        <f t="shared" si="21"/>
        <v>0.955</v>
      </c>
    </row>
    <row r="1404" spans="1:5">
      <c r="A1404" s="2">
        <v>46233</v>
      </c>
      <c r="B1404" s="1">
        <v>51.66</v>
      </c>
      <c r="C1404" s="1">
        <v>64.53</v>
      </c>
      <c r="D1404">
        <f t="shared" si="20"/>
        <v>0.979</v>
      </c>
      <c r="E1404">
        <f t="shared" si="21"/>
        <v>0.959</v>
      </c>
    </row>
    <row r="1405" spans="1:5">
      <c r="A1405" s="2">
        <v>46234</v>
      </c>
      <c r="B1405" s="1">
        <v>51.36</v>
      </c>
      <c r="C1405" s="1">
        <v>64.66</v>
      </c>
      <c r="D1405">
        <f t="shared" si="20"/>
        <v>0.973</v>
      </c>
      <c r="E1405">
        <f t="shared" si="21"/>
        <v>0.962</v>
      </c>
    </row>
    <row r="1406" spans="1:5">
      <c r="A1406" s="2">
        <v>46237</v>
      </c>
      <c r="B1406" s="1">
        <v>48.19</v>
      </c>
      <c r="C1406" s="1">
        <v>61.68</v>
      </c>
      <c r="D1406">
        <f t="shared" si="20"/>
        <v>0.937</v>
      </c>
      <c r="E1406">
        <f t="shared" si="21"/>
        <v>0.933</v>
      </c>
    </row>
    <row r="1407" spans="1:5">
      <c r="A1407" s="2">
        <v>46238</v>
      </c>
      <c r="B1407" s="1">
        <v>49.92</v>
      </c>
      <c r="C1407" s="1">
        <v>63.21</v>
      </c>
      <c r="D1407">
        <f t="shared" si="20"/>
        <v>0.958</v>
      </c>
      <c r="E1407">
        <f t="shared" si="21"/>
        <v>0.941</v>
      </c>
    </row>
    <row r="1408" spans="1:5">
      <c r="A1408" s="2">
        <v>46239</v>
      </c>
      <c r="B1408" s="1">
        <v>52.48</v>
      </c>
      <c r="C1408" s="1">
        <v>66.11</v>
      </c>
      <c r="D1408">
        <f t="shared" si="20"/>
        <v>0.987</v>
      </c>
      <c r="E1408">
        <f t="shared" si="21"/>
        <v>0.979</v>
      </c>
    </row>
    <row r="1409" spans="1:5">
      <c r="A1409" s="2">
        <v>46240</v>
      </c>
      <c r="B1409" s="1">
        <v>50.46</v>
      </c>
      <c r="C1409" s="1">
        <v>64.34</v>
      </c>
      <c r="D1409">
        <f t="shared" si="20"/>
        <v>0.961</v>
      </c>
      <c r="E1409">
        <f t="shared" si="21"/>
        <v>0.954</v>
      </c>
    </row>
    <row r="1410" spans="1:5">
      <c r="A1410" s="2">
        <v>46241</v>
      </c>
      <c r="B1410" s="1">
        <v>51.44</v>
      </c>
      <c r="C1410" s="1">
        <v>65.24</v>
      </c>
      <c r="D1410">
        <f t="shared" si="20"/>
        <v>0.973</v>
      </c>
      <c r="E1410">
        <f t="shared" si="21"/>
        <v>0.969</v>
      </c>
    </row>
    <row r="1411" spans="1:5">
      <c r="A1411" s="2">
        <v>46244</v>
      </c>
      <c r="B1411" s="1">
        <v>50.44</v>
      </c>
      <c r="C1411" s="1">
        <v>64.33</v>
      </c>
      <c r="D1411">
        <f t="shared" si="20"/>
        <v>0.958</v>
      </c>
      <c r="E1411">
        <f t="shared" si="21"/>
        <v>0.95</v>
      </c>
    </row>
    <row r="1412" spans="1:5">
      <c r="A1412" s="2">
        <v>46245</v>
      </c>
      <c r="B1412" s="1">
        <v>49.31</v>
      </c>
      <c r="C1412" s="1">
        <v>64.06</v>
      </c>
      <c r="D1412">
        <f t="shared" si="20"/>
        <v>0.942</v>
      </c>
      <c r="E1412">
        <f t="shared" si="21"/>
        <v>0.943</v>
      </c>
    </row>
    <row r="1413" spans="1:5">
      <c r="A1413" s="2">
        <v>46246</v>
      </c>
      <c r="B1413" s="1">
        <v>48.64</v>
      </c>
      <c r="C1413" s="1">
        <v>63.27</v>
      </c>
      <c r="D1413">
        <f t="shared" si="20"/>
        <v>0.934</v>
      </c>
      <c r="E1413">
        <f t="shared" si="21"/>
        <v>0.935</v>
      </c>
    </row>
    <row r="1414" spans="1:5">
      <c r="A1414" s="2">
        <v>46247</v>
      </c>
      <c r="B1414" s="1">
        <v>49.53</v>
      </c>
      <c r="C1414" s="1">
        <v>63.92</v>
      </c>
      <c r="D1414">
        <f t="shared" si="20"/>
        <v>0.946</v>
      </c>
      <c r="E1414">
        <f t="shared" si="21"/>
        <v>0.942</v>
      </c>
    </row>
    <row r="1415" spans="1:5">
      <c r="A1415" s="2">
        <v>46248</v>
      </c>
      <c r="B1415" s="1">
        <v>48.36</v>
      </c>
      <c r="C1415" s="1">
        <v>62.94</v>
      </c>
      <c r="D1415">
        <f t="shared" si="20"/>
        <v>0.926</v>
      </c>
      <c r="E1415">
        <f t="shared" si="21"/>
        <v>0.93</v>
      </c>
    </row>
    <row r="1416" spans="1:5">
      <c r="A1416" s="2">
        <v>46251</v>
      </c>
      <c r="B1416" s="1">
        <v>50.58</v>
      </c>
      <c r="C1416" s="1">
        <v>64.63</v>
      </c>
      <c r="D1416">
        <f t="shared" si="20"/>
        <v>0.959</v>
      </c>
      <c r="E1416">
        <f t="shared" si="21"/>
        <v>0.958</v>
      </c>
    </row>
    <row r="1417" spans="1:5">
      <c r="A1417" s="2">
        <v>46252</v>
      </c>
      <c r="B1417" s="1">
        <v>49.01</v>
      </c>
      <c r="C1417" s="1">
        <v>63.82</v>
      </c>
      <c r="D1417">
        <f t="shared" si="20"/>
        <v>0.934</v>
      </c>
      <c r="E1417">
        <f t="shared" si="21"/>
        <v>0.939</v>
      </c>
    </row>
    <row r="1418" spans="1:5">
      <c r="A1418" s="2">
        <v>46253</v>
      </c>
      <c r="B1418" s="1">
        <v>49.27</v>
      </c>
      <c r="C1418" s="1">
        <v>63.56</v>
      </c>
      <c r="D1418">
        <f t="shared" si="20"/>
        <v>0.938</v>
      </c>
      <c r="E1418">
        <f t="shared" si="21"/>
        <v>0.937</v>
      </c>
    </row>
    <row r="1419" spans="1:5">
      <c r="A1419" s="2">
        <v>46254</v>
      </c>
      <c r="B1419" s="1">
        <v>47.55</v>
      </c>
      <c r="C1419" s="1">
        <v>62.29</v>
      </c>
      <c r="D1419">
        <f t="shared" si="20"/>
        <v>0.915</v>
      </c>
      <c r="E1419">
        <f t="shared" si="21"/>
        <v>0.918</v>
      </c>
    </row>
    <row r="1420" spans="1:5">
      <c r="A1420" s="2">
        <v>46255</v>
      </c>
      <c r="B1420" s="1">
        <v>48.22</v>
      </c>
      <c r="C1420" s="1">
        <v>62.81</v>
      </c>
      <c r="D1420">
        <f t="shared" si="20"/>
        <v>0.921</v>
      </c>
      <c r="E1420">
        <f t="shared" si="21"/>
        <v>0.922</v>
      </c>
    </row>
    <row r="1421" spans="1:5">
      <c r="A1421" s="2">
        <v>46258</v>
      </c>
      <c r="B1421" s="1">
        <v>48.85</v>
      </c>
      <c r="C1421" s="1">
        <v>63.16</v>
      </c>
      <c r="D1421">
        <f t="shared" si="20"/>
        <v>0.929</v>
      </c>
      <c r="E1421">
        <f t="shared" si="21"/>
        <v>0.926</v>
      </c>
    </row>
    <row r="1422" spans="1:5">
      <c r="A1422" s="2">
        <v>46259</v>
      </c>
      <c r="B1422" s="1">
        <v>45.9</v>
      </c>
      <c r="C1422" s="1">
        <v>60.36</v>
      </c>
      <c r="D1422">
        <f t="shared" si="20"/>
        <v>0.886</v>
      </c>
      <c r="E1422">
        <f t="shared" si="21"/>
        <v>0.881</v>
      </c>
    </row>
    <row r="1423" spans="1:5">
      <c r="A1423" s="2">
        <v>46260</v>
      </c>
      <c r="B1423" s="1">
        <v>45.38</v>
      </c>
      <c r="C1423" s="1">
        <v>59.74</v>
      </c>
      <c r="D1423">
        <f t="shared" si="20"/>
        <v>0.869</v>
      </c>
      <c r="E1423">
        <f t="shared" si="21"/>
        <v>0.862</v>
      </c>
    </row>
    <row r="1424" spans="1:5">
      <c r="A1424" s="2">
        <v>46261</v>
      </c>
      <c r="B1424" s="1">
        <v>48.3</v>
      </c>
      <c r="C1424" s="1">
        <v>62.53</v>
      </c>
      <c r="D1424">
        <f t="shared" si="20"/>
        <v>0.919</v>
      </c>
      <c r="E1424">
        <f t="shared" si="21"/>
        <v>0.917</v>
      </c>
    </row>
    <row r="1425" spans="1:5">
      <c r="A1425" s="2">
        <v>46262</v>
      </c>
      <c r="B1425" s="1">
        <v>47.89</v>
      </c>
      <c r="C1425" s="1">
        <v>61.9</v>
      </c>
      <c r="D1425">
        <f t="shared" si="20"/>
        <v>0.914</v>
      </c>
      <c r="E1425">
        <f t="shared" si="21"/>
        <v>0.911</v>
      </c>
    </row>
    <row r="1426" spans="1:5">
      <c r="A1426" s="2">
        <v>46265</v>
      </c>
      <c r="B1426" s="1">
        <v>45.69</v>
      </c>
      <c r="C1426" s="1">
        <v>59.97</v>
      </c>
      <c r="D1426">
        <f t="shared" si="20"/>
        <v>0.878</v>
      </c>
      <c r="E1426">
        <f t="shared" si="21"/>
        <v>0.863</v>
      </c>
    </row>
    <row r="1427" spans="1:5">
      <c r="A1427" s="2">
        <v>46266</v>
      </c>
      <c r="B1427" s="1">
        <v>43.22</v>
      </c>
      <c r="C1427" s="1">
        <v>57.71</v>
      </c>
      <c r="D1427">
        <f t="shared" si="20"/>
        <v>0.73</v>
      </c>
      <c r="E1427">
        <f t="shared" si="21"/>
        <v>0.747</v>
      </c>
    </row>
    <row r="1428" spans="1:5">
      <c r="A1428" s="2">
        <v>46267</v>
      </c>
      <c r="B1428" s="1">
        <v>43.1</v>
      </c>
      <c r="C1428" s="1">
        <v>57.71</v>
      </c>
      <c r="D1428">
        <f t="shared" si="20"/>
        <v>0.719</v>
      </c>
      <c r="E1428">
        <f t="shared" si="21"/>
        <v>0.746</v>
      </c>
    </row>
    <row r="1429" spans="1:5">
      <c r="A1429" s="2">
        <v>46268</v>
      </c>
      <c r="B1429" s="1">
        <v>43.56</v>
      </c>
      <c r="C1429" s="1">
        <v>58.36</v>
      </c>
      <c r="D1429">
        <f t="shared" si="20"/>
        <v>0.754</v>
      </c>
      <c r="E1429">
        <f t="shared" si="21"/>
        <v>0.795</v>
      </c>
    </row>
    <row r="1430" spans="1:5">
      <c r="A1430" s="2">
        <v>46269</v>
      </c>
      <c r="B1430" s="1">
        <v>43.37</v>
      </c>
      <c r="C1430" s="1">
        <v>57.87</v>
      </c>
      <c r="D1430">
        <f t="shared" si="20"/>
        <v>0.734</v>
      </c>
      <c r="E1430">
        <f t="shared" si="21"/>
        <v>0.761</v>
      </c>
    </row>
    <row r="1431" spans="1:5">
      <c r="A1431" s="2">
        <v>46272</v>
      </c>
      <c r="B1431" s="1">
        <v>46.95</v>
      </c>
      <c r="C1431" s="1">
        <v>61.06</v>
      </c>
      <c r="D1431">
        <f t="shared" si="20"/>
        <v>0.906</v>
      </c>
      <c r="E1431">
        <f t="shared" si="21"/>
        <v>0.901</v>
      </c>
    </row>
    <row r="1432" spans="1:5">
      <c r="A1432" s="2">
        <v>46273</v>
      </c>
      <c r="B1432" s="1">
        <v>45.72</v>
      </c>
      <c r="C1432" s="1">
        <v>59.78</v>
      </c>
      <c r="D1432">
        <f t="shared" si="20"/>
        <v>0.879</v>
      </c>
      <c r="E1432">
        <f t="shared" si="21"/>
        <v>0.859</v>
      </c>
    </row>
    <row r="1433" spans="1:5">
      <c r="A1433" s="2">
        <v>46274</v>
      </c>
      <c r="B1433" s="1">
        <v>44.76</v>
      </c>
      <c r="C1433" s="1">
        <v>59.5</v>
      </c>
      <c r="D1433">
        <f t="shared" si="20"/>
        <v>0.827</v>
      </c>
      <c r="E1433">
        <f t="shared" si="21"/>
        <v>0.85</v>
      </c>
    </row>
    <row r="1434" spans="1:5">
      <c r="A1434" s="2">
        <v>46275</v>
      </c>
      <c r="B1434" s="1">
        <v>44.4</v>
      </c>
      <c r="C1434" s="1">
        <v>59.09</v>
      </c>
      <c r="D1434">
        <f t="shared" si="20"/>
        <v>0.802</v>
      </c>
      <c r="E1434">
        <f t="shared" si="21"/>
        <v>0.837</v>
      </c>
    </row>
    <row r="1435" spans="1:5">
      <c r="A1435" s="2">
        <v>46276</v>
      </c>
      <c r="B1435" s="1">
        <v>45.96</v>
      </c>
      <c r="C1435" s="1">
        <v>60.18</v>
      </c>
      <c r="D1435">
        <f t="shared" si="20"/>
        <v>0.885</v>
      </c>
      <c r="E1435">
        <f t="shared" si="21"/>
        <v>0.87</v>
      </c>
    </row>
    <row r="1436" spans="1:5">
      <c r="A1436" s="2">
        <v>46279</v>
      </c>
      <c r="B1436" s="1">
        <v>46.01</v>
      </c>
      <c r="C1436" s="1">
        <v>60.46</v>
      </c>
      <c r="D1436">
        <f t="shared" si="20"/>
        <v>0.887</v>
      </c>
      <c r="E1436">
        <f t="shared" si="21"/>
        <v>0.882</v>
      </c>
    </row>
    <row r="1437" spans="1:5">
      <c r="A1437" s="2">
        <v>46280</v>
      </c>
      <c r="B1437" s="1">
        <v>47</v>
      </c>
      <c r="C1437" s="1">
        <v>61.44</v>
      </c>
      <c r="D1437">
        <f t="shared" si="20"/>
        <v>0.907</v>
      </c>
      <c r="E1437">
        <f t="shared" si="21"/>
        <v>0.906</v>
      </c>
    </row>
    <row r="1438" spans="1:5">
      <c r="A1438" s="2">
        <v>46281</v>
      </c>
      <c r="B1438" s="1">
        <v>48.49</v>
      </c>
      <c r="C1438" s="1">
        <v>63.05</v>
      </c>
      <c r="D1438">
        <f t="shared" si="20"/>
        <v>0.923</v>
      </c>
      <c r="E1438">
        <f t="shared" si="21"/>
        <v>0.925</v>
      </c>
    </row>
    <row r="1439" spans="1:5">
      <c r="A1439" s="2">
        <v>46282</v>
      </c>
      <c r="B1439" s="1">
        <v>49.09</v>
      </c>
      <c r="C1439" s="1">
        <v>63.28</v>
      </c>
      <c r="D1439">
        <f t="shared" si="20"/>
        <v>0.933</v>
      </c>
      <c r="E1439">
        <f t="shared" si="21"/>
        <v>0.93</v>
      </c>
    </row>
    <row r="1440" spans="1:5">
      <c r="A1440" s="2">
        <v>46283</v>
      </c>
      <c r="B1440" s="1">
        <v>48.65</v>
      </c>
      <c r="C1440" s="1">
        <v>62.99</v>
      </c>
      <c r="D1440">
        <f t="shared" si="20"/>
        <v>0.926</v>
      </c>
      <c r="E1440">
        <f t="shared" si="21"/>
        <v>0.922</v>
      </c>
    </row>
    <row r="1441" spans="1:5">
      <c r="A1441" s="2">
        <v>46286</v>
      </c>
      <c r="B1441" s="1">
        <v>44.75</v>
      </c>
      <c r="C1441" s="1">
        <v>58.98</v>
      </c>
      <c r="D1441">
        <f t="shared" si="20"/>
        <v>0.818</v>
      </c>
      <c r="E1441">
        <f t="shared" si="21"/>
        <v>0.823</v>
      </c>
    </row>
    <row r="1442" spans="1:5">
      <c r="A1442" s="2">
        <v>46287</v>
      </c>
      <c r="B1442" s="1">
        <v>46.49</v>
      </c>
      <c r="C1442" s="1">
        <v>60.52</v>
      </c>
      <c r="D1442">
        <f t="shared" si="20"/>
        <v>0.893</v>
      </c>
      <c r="E1442">
        <f t="shared" si="21"/>
        <v>0.881</v>
      </c>
    </row>
    <row r="1443" spans="1:5">
      <c r="A1443" s="2">
        <v>46288</v>
      </c>
      <c r="B1443" s="1">
        <v>43.35</v>
      </c>
      <c r="C1443" s="1">
        <v>58.05</v>
      </c>
      <c r="D1443">
        <f t="shared" si="20"/>
        <v>0.716</v>
      </c>
      <c r="E1443">
        <f t="shared" si="21"/>
        <v>0.757</v>
      </c>
    </row>
    <row r="1444" spans="1:5">
      <c r="A1444" s="2">
        <v>46289</v>
      </c>
      <c r="B1444" s="1">
        <v>42.88</v>
      </c>
      <c r="C1444" s="1">
        <v>58.07</v>
      </c>
      <c r="D1444">
        <f t="shared" si="20"/>
        <v>0.682</v>
      </c>
      <c r="E1444">
        <f t="shared" si="21"/>
        <v>0.758</v>
      </c>
    </row>
    <row r="1445" spans="1:5">
      <c r="A1445" s="2">
        <v>46293</v>
      </c>
      <c r="B1445" s="1">
        <v>43.99</v>
      </c>
      <c r="C1445" s="1">
        <v>58.39</v>
      </c>
      <c r="D1445">
        <f t="shared" si="20"/>
        <v>0.774</v>
      </c>
      <c r="E1445">
        <f t="shared" si="21"/>
        <v>0.786</v>
      </c>
    </row>
    <row r="1446" spans="1:5">
      <c r="A1446" s="2">
        <v>46294</v>
      </c>
      <c r="B1446" s="1">
        <v>43.16</v>
      </c>
      <c r="C1446" s="1">
        <v>57.93</v>
      </c>
      <c r="D1446">
        <f t="shared" si="20"/>
        <v>0.704</v>
      </c>
      <c r="E1446">
        <f t="shared" si="21"/>
        <v>0.746</v>
      </c>
    </row>
    <row r="1447" spans="1:5">
      <c r="A1447" s="2">
        <v>46295</v>
      </c>
      <c r="B1447" s="1">
        <v>42.96</v>
      </c>
      <c r="C1447" s="1">
        <v>57.65</v>
      </c>
      <c r="D1447">
        <f t="shared" si="20"/>
        <v>0.688</v>
      </c>
      <c r="E1447">
        <f t="shared" si="21"/>
        <v>0.718</v>
      </c>
    </row>
    <row r="1448" spans="1:5">
      <c r="A1448" s="2">
        <v>46303</v>
      </c>
      <c r="B1448" s="1">
        <v>43.7</v>
      </c>
      <c r="C1448" s="1">
        <v>57.86</v>
      </c>
      <c r="D1448">
        <f t="shared" si="20"/>
        <v>0.746</v>
      </c>
      <c r="E1448">
        <f t="shared" si="21"/>
        <v>0.739</v>
      </c>
    </row>
    <row r="1449" spans="1:5">
      <c r="A1449" s="2">
        <v>46304</v>
      </c>
      <c r="B1449" s="1">
        <v>42.69</v>
      </c>
      <c r="C1449" s="1">
        <v>56.92</v>
      </c>
      <c r="D1449">
        <f t="shared" si="20"/>
        <v>0.666</v>
      </c>
      <c r="E1449">
        <f t="shared" si="21"/>
        <v>0.656</v>
      </c>
    </row>
    <row r="1450" spans="1:5">
      <c r="A1450" s="2">
        <v>46307</v>
      </c>
      <c r="B1450" s="1">
        <v>41.95</v>
      </c>
      <c r="C1450" s="1">
        <v>56.87</v>
      </c>
      <c r="D1450">
        <f t="shared" si="20"/>
        <v>0.583</v>
      </c>
      <c r="E1450">
        <f t="shared" si="21"/>
        <v>0.648</v>
      </c>
    </row>
    <row r="1451" spans="1:5">
      <c r="A1451" s="2">
        <v>46308</v>
      </c>
      <c r="B1451" s="1">
        <v>42.76</v>
      </c>
      <c r="C1451" s="1">
        <v>57.09</v>
      </c>
      <c r="D1451">
        <f t="shared" si="20"/>
        <v>0.668</v>
      </c>
      <c r="E1451">
        <f t="shared" si="21"/>
        <v>0.672</v>
      </c>
    </row>
    <row r="1452" spans="1:5">
      <c r="A1452" s="2">
        <v>46309</v>
      </c>
      <c r="B1452" s="1">
        <v>41.98</v>
      </c>
      <c r="C1452" s="1">
        <v>56.82</v>
      </c>
      <c r="D1452">
        <f t="shared" si="20"/>
        <v>0.583</v>
      </c>
      <c r="E1452">
        <f t="shared" si="21"/>
        <v>0.64</v>
      </c>
    </row>
    <row r="1453" spans="1:5">
      <c r="A1453" s="2">
        <v>46310</v>
      </c>
      <c r="B1453" s="1">
        <v>43.46</v>
      </c>
      <c r="C1453" s="1">
        <v>57.97</v>
      </c>
      <c r="D1453">
        <f t="shared" si="20"/>
        <v>0.722</v>
      </c>
      <c r="E1453">
        <f t="shared" si="21"/>
        <v>0.747</v>
      </c>
    </row>
    <row r="1454" spans="1:5">
      <c r="A1454" s="2">
        <v>46311</v>
      </c>
      <c r="B1454" s="1">
        <v>41.66</v>
      </c>
      <c r="C1454" s="1">
        <v>56.62</v>
      </c>
      <c r="D1454">
        <f t="shared" si="20"/>
        <v>0.556</v>
      </c>
      <c r="E1454">
        <f t="shared" si="21"/>
        <v>0.626</v>
      </c>
    </row>
    <row r="1455" spans="1:5">
      <c r="A1455" s="2">
        <v>46314</v>
      </c>
      <c r="B1455" s="1">
        <v>42.06</v>
      </c>
      <c r="C1455" s="1">
        <v>56.8</v>
      </c>
      <c r="D1455">
        <f>PERCENTRANK(B706:B1455,B1455)</f>
        <v>0.584</v>
      </c>
      <c r="E1455">
        <f>PERCENTRANK(C706:C1455,C1455)</f>
        <v>0.638</v>
      </c>
    </row>
    <row r="1456" spans="1:5">
      <c r="A1456" s="2">
        <v>46315</v>
      </c>
      <c r="B1456" s="1">
        <v>43.12</v>
      </c>
      <c r="C1456" s="1">
        <v>57.93</v>
      </c>
      <c r="D1456">
        <f>PERCENTRANK(B705:B1456,B1456)</f>
        <v>0.7</v>
      </c>
      <c r="E1456">
        <f>PERCENTRANK(C705:C1456,C1456)</f>
        <v>0.744</v>
      </c>
    </row>
    <row r="1457" spans="1:5">
      <c r="A1457" s="2">
        <v>46316</v>
      </c>
      <c r="B1457" s="1">
        <v>44.6232969660699</v>
      </c>
      <c r="C1457" s="1">
        <v>59.0753186121614</v>
      </c>
      <c r="D1457">
        <f>PERCENTRANK(B706:B1457,B1457)</f>
        <v>0.808</v>
      </c>
      <c r="E1457">
        <f>PERCENTRANK(C706:C1457,C1457)</f>
        <v>0.825</v>
      </c>
    </row>
    <row r="1458" spans="1:5">
      <c r="A1458" s="2">
        <v>46317</v>
      </c>
      <c r="B1458" s="3">
        <v>44.6431108141349</v>
      </c>
      <c r="C1458" s="3">
        <v>58.9291298596294</v>
      </c>
      <c r="D1458">
        <f>PERCENTRANK(B706:B1458,B1458)</f>
        <v>0.809</v>
      </c>
      <c r="E1458">
        <f>PERCENTRANK(C706:C1458,C1458)</f>
        <v>0.813</v>
      </c>
    </row>
    <row r="1459" spans="1:5">
      <c r="A1459" s="2">
        <v>46318</v>
      </c>
      <c r="B1459" s="3">
        <v>42.0275697559427</v>
      </c>
      <c r="C1459" s="3">
        <v>55.7804693973789</v>
      </c>
      <c r="D1459">
        <f>PERCENTRANK(B707:B1459,B1459)</f>
        <v>0.578</v>
      </c>
      <c r="E1459">
        <f>PERCENTRANK(C707:C1459,C1459)</f>
        <v>0.549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省司法厅</Company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期权实时成本</vt:lpstr>
      <vt:lpstr>中证1000年化基差</vt:lpstr>
      <vt:lpstr>A股拥挤度指标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</dc:creator>
  <cp:lastModifiedBy>Atta</cp:lastModifiedBy>
  <dcterms:created xsi:type="dcterms:W3CDTF">2026-10-19T06:56:00Z</dcterms:created>
  <dcterms:modified xsi:type="dcterms:W3CDTF">2026-10-23T07:36:09Z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D36C4DC5DC544FB5B44D653202CB3F40_11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